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Plan de prueba" sheetId="2" r:id="rId5"/>
    <sheet state="visible" name="Control" sheetId="3" r:id="rId6"/>
    <sheet state="visible" name="Datos" sheetId="4" r:id="rId7"/>
    <sheet state="hidden" name="Datos del plan" sheetId="5" r:id="rId8"/>
  </sheets>
  <definedNames>
    <definedName hidden="1" localSheetId="1" name="_xlnm._FilterDatabase">'Plan de prueba'!$E$1:$T$261</definedName>
  </definedNames>
  <calcPr/>
  <extLst>
    <ext uri="GoogleSheetsCustomDataVersion2">
      <go:sheetsCustomData xmlns:go="http://customooxmlschemas.google.com/" r:id="rId9" roundtripDataChecksum="3jqMRpFTvOx3uo+IFqEOKbkV8q7iwRvx5MNqTl1l9cg="/>
    </ext>
  </extLst>
</workbook>
</file>

<file path=xl/sharedStrings.xml><?xml version="1.0" encoding="utf-8"?>
<sst xmlns="http://schemas.openxmlformats.org/spreadsheetml/2006/main" count="1220" uniqueCount="616">
  <si>
    <t>Funcional</t>
  </si>
  <si>
    <t>Caja Negra</t>
  </si>
  <si>
    <t>No Funcional</t>
  </si>
  <si>
    <t>Caja Blanca</t>
  </si>
  <si>
    <t>Completar</t>
  </si>
  <si>
    <t>Hibrido</t>
  </si>
  <si>
    <t xml:space="preserve"> </t>
  </si>
  <si>
    <t>ID</t>
  </si>
  <si>
    <t>Nombre de la prueba</t>
  </si>
  <si>
    <t>Tipo</t>
  </si>
  <si>
    <t>Resultado esperado</t>
  </si>
  <si>
    <t>Pre condicion</t>
  </si>
  <si>
    <t>Resultado obtenido</t>
  </si>
  <si>
    <t>Datos de prueba</t>
  </si>
  <si>
    <t>Modulo a probar</t>
  </si>
  <si>
    <t>Criterios de aceptacion</t>
  </si>
  <si>
    <t>Estrategia</t>
  </si>
  <si>
    <t>Resultado</t>
  </si>
  <si>
    <t>Candidato a automatizar</t>
  </si>
  <si>
    <t>Responsable ejecución</t>
  </si>
  <si>
    <t>MTC</t>
  </si>
  <si>
    <t>MTC_0001</t>
  </si>
  <si>
    <t>Validar inicio de sesión con credenciales correctas</t>
  </si>
  <si>
    <t xml:space="preserve">Plan de prueba software OSPOS </t>
  </si>
  <si>
    <t>El sistema permite el acceso al usuario y muestra la pantalla principal</t>
  </si>
  <si>
    <t>Usuario registrado y activo</t>
  </si>
  <si>
    <t>Usuario inicia sesion con exito</t>
  </si>
  <si>
    <t>Correo: moha.show@gmail.com /Contraseña: Atom12345</t>
  </si>
  <si>
    <t>Autenticación</t>
  </si>
  <si>
    <t>El usuario debe ingresar correctamente al sistema</t>
  </si>
  <si>
    <t>OK</t>
  </si>
  <si>
    <t>SI</t>
  </si>
  <si>
    <t>Ignacio Cortes</t>
  </si>
  <si>
    <t>MTC_0002</t>
  </si>
  <si>
    <t>Validar inicio de sesión con contraseña incorrecta</t>
  </si>
  <si>
    <t>El sistema rechaza el acceso y muestra un mensaje de error</t>
  </si>
  <si>
    <t>Usuario registrado</t>
  </si>
  <si>
    <t>Usuario no puede iniciar sesion</t>
  </si>
  <si>
    <t>Correo: moha.show@gmail.com / Contraseña incorrecta</t>
  </si>
  <si>
    <t>No debe permitir el acceso con credenciales inválidas</t>
  </si>
  <si>
    <t>MTC_0003</t>
  </si>
  <si>
    <t>Validar cierre de sesión</t>
  </si>
  <si>
    <t>El sistema cierra la sesión y restringe nuevamente las páginas protegidas</t>
  </si>
  <si>
    <t>Usuario autenticado</t>
  </si>
  <si>
    <t>No puede ingresar a las paginas protegidas sin iniciar sesion</t>
  </si>
  <si>
    <t>Usuario válido</t>
  </si>
  <si>
    <t>El usuario no debe continuar accediendo a funciones protegidas</t>
  </si>
  <si>
    <t>MTC_0004</t>
  </si>
  <si>
    <t>Validar creación de ticket con datos válidos</t>
  </si>
  <si>
    <t>El sistema crea y registra correctamente el ticket</t>
  </si>
  <si>
    <t>El sistema registro correctamente el ticket</t>
  </si>
  <si>
    <t>Título, descripción, categoría y prioridad válidos</t>
  </si>
  <si>
    <t>Gestión de Tickets</t>
  </si>
  <si>
    <t>El ticket debe quedar registrado con todos sus datos</t>
  </si>
  <si>
    <t>MTC_0005</t>
  </si>
  <si>
    <t>Validar creación de ticket sin título</t>
  </si>
  <si>
    <t>El sistema muestra un mensaje indicando que el título es obligatorio</t>
  </si>
  <si>
    <t>No se puede enviar el ticket sin un titulo</t>
  </si>
  <si>
    <t>Título vacío</t>
  </si>
  <si>
    <t>No debe permitir crear un ticket sin título</t>
  </si>
  <si>
    <t>MTC_0006</t>
  </si>
  <si>
    <t>Validar creación de ticket sin descripción</t>
  </si>
  <si>
    <t>El sistema informa que la descripción es obligatoria</t>
  </si>
  <si>
    <t>No se puede enviar el ticket sin una descripcion</t>
  </si>
  <si>
    <t>Descripción vacía</t>
  </si>
  <si>
    <t>No debe permitir crear un ticket sin descripción</t>
  </si>
  <si>
    <t>MTC_0007</t>
  </si>
  <si>
    <t>Validar carga de archivo permitido</t>
  </si>
  <si>
    <t>El sistema permite adjuntar el archivo al ticket</t>
  </si>
  <si>
    <t>Usuario autenticado y ticket en creación</t>
  </si>
  <si>
    <t>No ejecutado</t>
  </si>
  <si>
    <t>PDF de 5 MB</t>
  </si>
  <si>
    <t>Debe permitir archivos válidos de hasta 10 MB</t>
  </si>
  <si>
    <t>MTC_0008</t>
  </si>
  <si>
    <t>Validar carga de archivo superior al límite</t>
  </si>
  <si>
    <t>El sistema rechaza el archivo y muestra un mensaje de error</t>
  </si>
  <si>
    <t>PDF de 15 MB</t>
  </si>
  <si>
    <t>No debe aceptar archivos superiores a 10 MB</t>
  </si>
  <si>
    <t>MTC_0009</t>
  </si>
  <si>
    <t>Validar clasificación automática del ticket</t>
  </si>
  <si>
    <t>La IA clasifica automáticamente el ticket en una categoría</t>
  </si>
  <si>
    <t>Ticket creado y modelo disponible</t>
  </si>
  <si>
    <t>La IA clasifica correctamente el ticket</t>
  </si>
  <si>
    <t>Ticket: "No puedo iniciar sesión"</t>
  </si>
  <si>
    <t>Inteligencia Artificial</t>
  </si>
  <si>
    <t>El sistema debe entregar una categoría como resultado de la predicción</t>
  </si>
  <si>
    <t>MTC_0010</t>
  </si>
  <si>
    <t>Validar porcentaje de confianza de la predicción</t>
  </si>
  <si>
    <t>El sistema muestra el porcentaje de confianza de la clasificación</t>
  </si>
  <si>
    <t>Ticket clasificado por IA</t>
  </si>
  <si>
    <t>Se muestra correctamente el porcentaje de confianza</t>
  </si>
  <si>
    <t>Ticket de prueba</t>
  </si>
  <si>
    <t>Debe mostrar un porcentaje entre 0% y 100%</t>
  </si>
  <si>
    <t>MTC_0011</t>
  </si>
  <si>
    <t>Validar clasificación automática con confianza superior al 85%</t>
  </si>
  <si>
    <t>El ticket mantiene la clasificación automática</t>
  </si>
  <si>
    <t>Umbral configurado en 85%</t>
  </si>
  <si>
    <t>Confianza: 96%</t>
  </si>
  <si>
    <t>Una predicción ≥85% debe continuar el flujo automático</t>
  </si>
  <si>
    <t>MTC_0012</t>
  </si>
  <si>
    <t>Validar corrección manual de clasificación</t>
  </si>
  <si>
    <t>El técnico puede modificar la categoría asignada por la IA</t>
  </si>
  <si>
    <t>Técnico autenticado y ticket asignado</t>
  </si>
  <si>
    <t>El tecnico asignado o el administrador puede modificar la clasificacion correctamente</t>
  </si>
  <si>
    <t>Categoría IA: Hardware / Nueva: Software</t>
  </si>
  <si>
    <t>La nueva categoría debe almacenarse correctamente</t>
  </si>
  <si>
    <t xml:space="preserve">Integrantes: Ignacio Cortes, Mohammed Chowdry, Diego Triviños
</t>
  </si>
  <si>
    <t>MTC_0013</t>
  </si>
  <si>
    <t>Validar registro de predicción de IA</t>
  </si>
  <si>
    <t>El sistema registra categoría, confianza y fecha de predicción</t>
  </si>
  <si>
    <t>Ticket procesado por IA</t>
  </si>
  <si>
    <t>El sistema registro correctamente la categoria, confianza y fecha de prediccion</t>
  </si>
  <si>
    <t>Categoría: Acceso / Confianza: 96,3%</t>
  </si>
  <si>
    <t>Los datos de la predicción deben quedar almacenados</t>
  </si>
  <si>
    <t>MTC_0014</t>
  </si>
  <si>
    <t>Validar asignación de ticket a técnico</t>
  </si>
  <si>
    <t>El ticket se asigna correctamente al técnico correspondiente</t>
  </si>
  <si>
    <t>Ticket creado</t>
  </si>
  <si>
    <t>El ticket asigna un tecnico correctamente segun su clasificacion</t>
  </si>
  <si>
    <t>Categoría: Hardware / Técnico: técnico01</t>
  </si>
  <si>
    <t>El ticket debe aparecer en los tickets asignados del técnico</t>
  </si>
  <si>
    <t>MTC_0015</t>
  </si>
  <si>
    <t>Validar visualización de tickets asignados</t>
  </si>
  <si>
    <t>El técnico visualiza sus tickets asignados</t>
  </si>
  <si>
    <t>Técnico autenticado</t>
  </si>
  <si>
    <t>El tecnico visualiza solo sus tickets asignados correctamente</t>
  </si>
  <si>
    <t>Técnico: técnico01</t>
  </si>
  <si>
    <t>Deben mostrarse los tickets correspondientes al técnico</t>
  </si>
  <si>
    <t>MTC_0016</t>
  </si>
  <si>
    <t>Validar cambio de estado del ticket</t>
  </si>
  <si>
    <t>El técnico puede cambiar el estado del ticket</t>
  </si>
  <si>
    <t>El tecnico puede cambiar el estado del ticket correctamente</t>
  </si>
  <si>
    <t>Abierto → En Proceso</t>
  </si>
  <si>
    <t>El nuevo estado debe guardarse correctamente</t>
  </si>
  <si>
    <t>MTC_0017</t>
  </si>
  <si>
    <t>Validar envío de mensaje dentro del ticket</t>
  </si>
  <si>
    <t>El mensaje queda registrado y visible para los participantes</t>
  </si>
  <si>
    <t>Usuario autenticado y ticket existente</t>
  </si>
  <si>
    <t>El mensaje quedo dentro del ticket correctamente</t>
  </si>
  <si>
    <t>"Se revisará su problema."</t>
  </si>
  <si>
    <t>Comunicación</t>
  </si>
  <si>
    <t>El mensaje debe mostrarse correctamente en la conversación</t>
  </si>
  <si>
    <t>MTC_0018</t>
  </si>
  <si>
    <t>Validar notificación por cambio de estado</t>
  </si>
  <si>
    <t>El cliente recibe una notificación cuando cambia el estado</t>
  </si>
  <si>
    <t>Ticket existente</t>
  </si>
  <si>
    <t>En Proceso → Resuelto</t>
  </si>
  <si>
    <t>Notificaciones</t>
  </si>
  <si>
    <t>Debe generarse la notificación correspondiente</t>
  </si>
  <si>
    <t>MTC_0019</t>
  </si>
  <si>
    <t>Validar historial de tickets del cliente</t>
  </si>
  <si>
    <t>El cliente puede visualizar sus tickets registrados</t>
  </si>
  <si>
    <t>Cliente autenticado</t>
  </si>
  <si>
    <t>El cliente puede visualizar su historial de ticket correctamente</t>
  </si>
  <si>
    <t>Cliente con 3 tickets</t>
  </si>
  <si>
    <t>Deben aparecer los tickets pertenecientes al cliente</t>
  </si>
  <si>
    <t>MTC_0020</t>
  </si>
  <si>
    <t>Validar filtro de tickets por estado</t>
  </si>
  <si>
    <t>El sistema muestra únicamente los tickets del estado seleccionado</t>
  </si>
  <si>
    <t>Cliente con tickets registrados</t>
  </si>
  <si>
    <t>El sistema filtro exitosamente los tickets</t>
  </si>
  <si>
    <t>Filtro: Cerrado</t>
  </si>
  <si>
    <t>Solo deben mostrarse tickets cerrados</t>
  </si>
  <si>
    <t>Baja</t>
  </si>
  <si>
    <t>MTC_0021</t>
  </si>
  <si>
    <t>Validar búsqueda de tickets</t>
  </si>
  <si>
    <t>El sistema muestra los tickets relacionados con el texto ingresado</t>
  </si>
  <si>
    <t>Usuario con tickets registrados</t>
  </si>
  <si>
    <t>"contraseña"</t>
  </si>
  <si>
    <t>NOK</t>
  </si>
  <si>
    <t>Debe buscar coincidencias en título o descripción</t>
  </si>
  <si>
    <t>Media</t>
  </si>
  <si>
    <t>NO</t>
  </si>
  <si>
    <t>UAT</t>
  </si>
  <si>
    <t>Alta</t>
  </si>
  <si>
    <t>MTC_0022</t>
  </si>
  <si>
    <t>Validar visualización del detalle del ticket</t>
  </si>
  <si>
    <t>Código</t>
  </si>
  <si>
    <t>Se muestra la información completa del ticket</t>
  </si>
  <si>
    <t>Bloqueado</t>
  </si>
  <si>
    <t>ID: TCK-001</t>
  </si>
  <si>
    <t>Debe mostrar estado, categoría, prioridad, mensajes y descripción</t>
  </si>
  <si>
    <t>End to End</t>
  </si>
  <si>
    <t>Obsoleto</t>
  </si>
  <si>
    <t>Stress</t>
  </si>
  <si>
    <t>Rendimiento</t>
  </si>
  <si>
    <t>MTC_0023</t>
  </si>
  <si>
    <t>Carga</t>
  </si>
  <si>
    <t>Validar historial de cambios del ticket</t>
  </si>
  <si>
    <t>El sistema registra usuario, fecha y modificación realizada</t>
  </si>
  <si>
    <t>Cambio de estado por técnico01</t>
  </si>
  <si>
    <t>Trazabilidad</t>
  </si>
  <si>
    <t>Toda modificación debe quedar registrada</t>
  </si>
  <si>
    <t>MTC_0024</t>
  </si>
  <si>
    <t>Validar acceso del administrador a todos los tickets</t>
  </si>
  <si>
    <t>El administrador puede visualizar todos los tickets</t>
  </si>
  <si>
    <t>Administrador autenticado</t>
  </si>
  <si>
    <t>Usuario administrador</t>
  </si>
  <si>
    <t>Administración</t>
  </si>
  <si>
    <t>Debe poder visualizar los tickets del sistema</t>
  </si>
  <si>
    <t>MTC_0025</t>
  </si>
  <si>
    <t>Validar restricción de acceso según rol</t>
  </si>
  <si>
    <t>El sistema impide acceder a funciones no autorizadas</t>
  </si>
  <si>
    <t>Cliente intentando acceder a administración</t>
  </si>
  <si>
    <t>Seguridad</t>
  </si>
  <si>
    <t>El cliente no debe acceder al panel administrativo</t>
  </si>
  <si>
    <t>MTC_0026</t>
  </si>
  <si>
    <t>Validar creación de usuario</t>
  </si>
  <si>
    <t>El administrador puede registrar un nuevo usuario</t>
  </si>
  <si>
    <t>Nombre, correo, contraseña y rol válidos</t>
  </si>
  <si>
    <t>Gestión de Usuarios</t>
  </si>
  <si>
    <t>El nuevo usuario debe quedar registrado</t>
  </si>
  <si>
    <t>MTC_0027</t>
  </si>
  <si>
    <t>Validar modificación de usuario</t>
  </si>
  <si>
    <t>El administrador puede modificar información del usuario</t>
  </si>
  <si>
    <t>Cambio de nombre o rol</t>
  </si>
  <si>
    <t>Los datos modificados deben almacenarse</t>
  </si>
  <si>
    <t>MTC_0028</t>
  </si>
  <si>
    <t>Validar eliminación de usuario</t>
  </si>
  <si>
    <t>El administrador puede eliminar un usuario</t>
  </si>
  <si>
    <t>Usuario: técnico01</t>
  </si>
  <si>
    <t>El usuario eliminado no debe poder acceder</t>
  </si>
  <si>
    <t>MTC_0029</t>
  </si>
  <si>
    <t>Validar búsqueda y filtrado de usuarios</t>
  </si>
  <si>
    <t>El administrador puede buscar y filtrar usuarios</t>
  </si>
  <si>
    <t>Se pudo buscar y filtrar los usuarios correctamente</t>
  </si>
  <si>
    <t>Rol: Técnico / Nombre: técnico01</t>
  </si>
  <si>
    <t>Deben mostrarse únicamente los usuarios coincidentes</t>
  </si>
  <si>
    <t>MTC_0030</t>
  </si>
  <si>
    <t>Validar dashboard de métricas de IA</t>
  </si>
  <si>
    <t>El administrador puede visualizar las métricas de la IA</t>
  </si>
  <si>
    <t>Administrador autenticado y datos disponibles</t>
  </si>
  <si>
    <t>Tickets procesados por IA</t>
  </si>
  <si>
    <t>Reportes</t>
  </si>
  <si>
    <t>Las métricas deben mostrarse correctamente</t>
  </si>
  <si>
    <t>MTC_0031</t>
  </si>
  <si>
    <t>Validar modificación del umbral de confianza</t>
  </si>
  <si>
    <t>El administrador puede modificar el porcentaje mínimo de confianza</t>
  </si>
  <si>
    <t>85% → 90%</t>
  </si>
  <si>
    <t>El nuevo valor debe guardarse y utilizarse en nuevas predicciones</t>
  </si>
  <si>
    <t>MTC_0032</t>
  </si>
  <si>
    <t>Validar anonimización de datos sensibles</t>
  </si>
  <si>
    <t>El sistema oculta datos sensibles antes del procesamiento de IA</t>
  </si>
  <si>
    <t>Ticket con información sensible</t>
  </si>
  <si>
    <r>
      <rPr>
        <color rgb="FF1155CC"/>
        <u/>
      </rPr>
      <t>correo@ejemplo.cl</t>
    </r>
    <r>
      <rPr/>
      <t xml:space="preserve"> / contraseña ficticia</t>
    </r>
  </si>
  <si>
    <t>Los datos sensibles deben anonimizarse antes del procesamiento</t>
  </si>
  <si>
    <t>MTC_0033</t>
  </si>
  <si>
    <t>Validar recuperación de contraseña</t>
  </si>
  <si>
    <t>El sistema permite iniciar la recuperación de contraseña</t>
  </si>
  <si>
    <r>
      <rPr>
        <color rgb="FF1155CC"/>
        <u/>
      </rPr>
      <t>usuario@tixai.cl</t>
    </r>
  </si>
  <si>
    <t>Debe iniciar correctamente el proceso de recuperación</t>
  </si>
  <si>
    <t>MTC_0034</t>
  </si>
  <si>
    <t>Validar acceso directo a URL restringida</t>
  </si>
  <si>
    <t>El sistema bloquea el acceso a una URL no autorizada</t>
  </si>
  <si>
    <t>URL del panel administrativo</t>
  </si>
  <si>
    <t>El usuario debe ser rechazado o redirigido</t>
  </si>
  <si>
    <t>MTC_0035</t>
  </si>
  <si>
    <t>Validar clasificación de múltiples tickets simultáneamente</t>
  </si>
  <si>
    <t>El sistema procesa correctamente múltiples solicitudes de clasificación</t>
  </si>
  <si>
    <t>Modelo IA operativo</t>
  </si>
  <si>
    <t>50 tickets enviados simultáneamente</t>
  </si>
  <si>
    <t>El sistema debe procesar las solicitudes sin pérdida de información</t>
  </si>
  <si>
    <t>MTC_0036</t>
  </si>
  <si>
    <t>Evaluar comportamiento del sistema bajo alta cantidad de solicitudes</t>
  </si>
  <si>
    <t>El sistema mantiene su funcionamiento o informa correctamente cuando supera su capacidad</t>
  </si>
  <si>
    <t>Sistema operativo</t>
  </si>
  <si>
    <t>200 solicitudes simultáneas</t>
  </si>
  <si>
    <t>Sistema / IA</t>
  </si>
  <si>
    <t>No debe producir corrupción de datos ni resultados inconsistentes</t>
  </si>
  <si>
    <t>MTC_0037</t>
  </si>
  <si>
    <t>Medir tiempo de respuesta de clasificación IA</t>
  </si>
  <si>
    <t>La clasificación se devuelve dentro del tiempo definido por el proyecto</t>
  </si>
  <si>
    <t>Ticket de 500 caracteres</t>
  </si>
  <si>
    <t>La respuesta debe cumplir el tiempo máximo establecido</t>
  </si>
  <si>
    <t>MTC_0038</t>
  </si>
  <si>
    <t>Validar flujo completo de creación y resolución de ticket</t>
  </si>
  <si>
    <t>El ticket puede recorrer correctamente todo el proceso hasta su resolución</t>
  </si>
  <si>
    <t>Cliente, técnico e IA disponibles</t>
  </si>
  <si>
    <t>El ticket recorrio el flujo completo correctamente</t>
  </si>
  <si>
    <t>Cliente crea ticket → IA clasifica → técnico atiende → responde → resuelve</t>
  </si>
  <si>
    <t>El flujo completo debe finalizar sin errores</t>
  </si>
  <si>
    <t>MTC_0039</t>
  </si>
  <si>
    <t>Validar flujo completo con corrección de clasificación</t>
  </si>
  <si>
    <t>El técnico puede corregir la clasificación y posteriormente responder al cliente</t>
  </si>
  <si>
    <t>Ticket clasificado por IA y técnico asignado</t>
  </si>
  <si>
    <t>El tecnico corrigio la clasificacion y posteriormente respondio el ticket con exito</t>
  </si>
  <si>
    <t>IA: Hardware → Técnico: Software → Respuesta</t>
  </si>
  <si>
    <t>El flujo debe permitir corregir y continuar con la atención</t>
  </si>
  <si>
    <t>MTC_0040</t>
  </si>
  <si>
    <t>Validar código de clasificación IA</t>
  </si>
  <si>
    <t>El código debe retornar una categoría y porcentaje de confianza válidos</t>
  </si>
  <si>
    <t>Modelo entrenado y código disponible</t>
  </si>
  <si>
    <t>Se puede visualizar la clasificacion de la IA correctamente</t>
  </si>
  <si>
    <t>Texto de ticket de prueba</t>
  </si>
  <si>
    <t>La función debe retornar resultados válidos sin errores</t>
  </si>
  <si>
    <t>MTC_0041</t>
  </si>
  <si>
    <t>Validar código de creación de tickets</t>
  </si>
  <si>
    <t>La lógica debe crear correctamente un registro de ticket</t>
  </si>
  <si>
    <t>Base de datos disponible</t>
  </si>
  <si>
    <t>Ticket creado y guardado en la base de datos correctamente</t>
  </si>
  <si>
    <t>Datos válidos de ticket</t>
  </si>
  <si>
    <t>El registro debe almacenarse correctamente en la base de datos</t>
  </si>
  <si>
    <t>MTC_0042</t>
  </si>
  <si>
    <t>Validar navegación completa del cliente</t>
  </si>
  <si>
    <t>El cliente puede crear, consultar y revisar el estado de su ticket</t>
  </si>
  <si>
    <t>El cliente pudo visualizar, consultar, revisar el estado del ticket correctamente</t>
  </si>
  <si>
    <t>Usuario cliente y ticket de prueba</t>
  </si>
  <si>
    <t>El flujo debe resultar comprensible y cumplir las necesidades del usuario</t>
  </si>
  <si>
    <t>MTC_0043</t>
  </si>
  <si>
    <t>Validar navegación completa del técnico</t>
  </si>
  <si>
    <t>El técnico puede visualizar, atender, clasificar y responder tickets</t>
  </si>
  <si>
    <t>El tecnico puede visualizar, atender, clasificar y responder tickets correctamente</t>
  </si>
  <si>
    <t>Usuario técnico y ticket asignado</t>
  </si>
  <si>
    <t>El técnico debe poder completar el proceso de atención</t>
  </si>
  <si>
    <t>MTC_0044</t>
  </si>
  <si>
    <t>Validar experiencia general del administrador</t>
  </si>
  <si>
    <t>El administrador puede gestionar usuarios, tickets, IA y reportes</t>
  </si>
  <si>
    <t>El administrador puede gestionar usuarios, tickets correctamente</t>
  </si>
  <si>
    <t>Las funciones principales deben estar disponibles y ser utilizables</t>
  </si>
  <si>
    <t>MTC_0045</t>
  </si>
  <si>
    <t>Análisis estático de calidad y seguridad del código</t>
  </si>
  <si>
    <t>El código debe ser analizado correctamente y no presentar problemas críticos de seguridad, fiabilidad o mantenibilidad.</t>
  </si>
  <si>
    <t>Proyecto TIX AI disponible y código fuente cargado en SonarQube.</t>
  </si>
  <si>
    <t>SonarQube realizó el análisis y detectó 14 cuestiones de seguridad, 39 de fiabilidad y 3 de mantenibilidad. Se registra una duplicación del 2,5% y la cobertura no está configurada.</t>
  </si>
  <si>
    <t>Código fuente del proyecto TIX AI</t>
  </si>
  <si>
    <t>Código fuente</t>
  </si>
  <si>
    <t>El análisis debe ejecutarse correctamente y los problemas detectados deben ser identificados y gestionados. No deben existir vulnerabilidades críticas sin resolver.</t>
  </si>
  <si>
    <t>MTC_0046</t>
  </si>
  <si>
    <t>Prueba de usuarios iniciando sesion</t>
  </si>
  <si>
    <t>100 usuarios pueden iniciar sesion en un periodo de 5 segundos</t>
  </si>
  <si>
    <t>Servidor Django activo, JMeter configurado y usuario de prueba registrado</t>
  </si>
  <si>
    <t>150 usuarios pudieron iniciar sesion correctamente en un periodo de 5 segundos</t>
  </si>
  <si>
    <t>Correo: usuario de prueba / contraseña: credencial de prueba</t>
  </si>
  <si>
    <t>Inicio de sesión / Autenticación</t>
  </si>
  <si>
    <t>Al menos 100 usuarios deben poder iniciar sesión correctamente en un máximo de 5 segundos</t>
  </si>
  <si>
    <t>MTC_0047</t>
  </si>
  <si>
    <t>Medir tiempo de carga de la pantalla de inicio de sesión</t>
  </si>
  <si>
    <t>La pantalla de login se entrega rápidamente bajo uso concurrente normal</t>
  </si>
  <si>
    <t>Servidor Django activo y JMeter configurado</t>
  </si>
  <si>
    <t>250 usuarios cargaron la pantalla de inicio de sesion correctamente en un periodo de 5 segundos</t>
  </si>
  <si>
    <t>250 usuarios concurrentes, GET a la URL de login, ramp-up de 5 s</t>
  </si>
  <si>
    <t>Tiempo de respuesta percentil 95 ≤ 2 segundos y 0% de errores HTTP</t>
  </si>
  <si>
    <t>MTC_0048</t>
  </si>
  <si>
    <t>Validar creación simultánea de tickets por múltiples clientes</t>
  </si>
  <si>
    <t>El sistema registra todos los tickets enviados sin pérdida ni duplicados</t>
  </si>
  <si>
    <t>50 clientes de prueba registrados y base de datos disponible</t>
  </si>
  <si>
    <t>solamente se pudieron crear 5 tickets, el 75% fallo en crear el ticket simultaneamente con los 20 usuarios</t>
  </si>
  <si>
    <t>20 usuarios concurrentes enviando POST de ticket con título, descripción, categoría y prioridad válidos</t>
  </si>
  <si>
    <t>Se crean 50 tickets en BD (sin pérdidas ni duplicados), tiempo p95 ≤ 3 segundos y errores &lt; 1%</t>
  </si>
  <si>
    <t>MTC_0049</t>
  </si>
  <si>
    <t>Medir tiempo de carga del historial de tickets con alto volumen de datos</t>
  </si>
  <si>
    <t>El cliente visualiza su historial sin degradación perceptible</t>
  </si>
  <si>
    <t>Cliente autenticado con 1.000 tickets registrados</t>
  </si>
  <si>
    <t>1 cliente con 1.000 tickets; 20 usuarios concurrentes consultando el historial</t>
  </si>
  <si>
    <t>Tiempo de respuesta promedio ≤ 2 segundos y uso de paginación en el listado</t>
  </si>
  <si>
    <t>MTC_0050</t>
  </si>
  <si>
    <t>Medir tiempo de búsqueda de tickets con base de datos extensa</t>
  </si>
  <si>
    <t>La búsqueda devuelve resultados dentro del tiempo definido</t>
  </si>
  <si>
    <t>Base de datos con 10.000 tickets registrados</t>
  </si>
  <si>
    <t>Búsqueda por texto: "contraseña" (20 usuarios concurrentes)</t>
  </si>
  <si>
    <t>Tiempo de respuesta percentil 95 ≤ 3 segundos con resultados correctos</t>
  </si>
  <si>
    <t>MTC_0051</t>
  </si>
  <si>
    <t>Medir tiempo de filtrado de tickets por estado con alto volumen</t>
  </si>
  <si>
    <t>El filtro responde dentro del tiempo definido y muestra solo el estado seleccionado</t>
  </si>
  <si>
    <t>Base de datos con 10.000 tickets en distintos estados</t>
  </si>
  <si>
    <t>Filtro: Abierto, En Proceso y Cerrado (20 usuarios concurrentes)</t>
  </si>
  <si>
    <t>Tiempo de respuesta promedio ≤ 2 segundos sin resultados de otros estados</t>
  </si>
  <si>
    <t>MTC_0052</t>
  </si>
  <si>
    <t>Medir tiempo de visualización del detalle de un ticket con muchos mensajes</t>
  </si>
  <si>
    <t>El detalle del ticket carga completo sin retrasos excesivos</t>
  </si>
  <si>
    <t>Ticket existente con 100 mensajes y su historial de cambios</t>
  </si>
  <si>
    <t>ID de ticket con 100 mensajes; 30 usuarios concurrentes</t>
  </si>
  <si>
    <t>Tiempo de respuesta promedio ≤ 2 segundos mostrando todos los mensajes</t>
  </si>
  <si>
    <t>MTC_0053</t>
  </si>
  <si>
    <t>Medir tiempo de carga de archivos adjuntos de gran tamaño bajo concurrencia</t>
  </si>
  <si>
    <t>El sistema recibe los archivos válidos sin errores ni archivos corruptos</t>
  </si>
  <si>
    <t>20 usuarios autenticados con ticket en creación</t>
  </si>
  <si>
    <t>20 usuarios concurrentes subiendo un PDF de 10 MB</t>
  </si>
  <si>
    <t>Todos los archivos se almacenan íntegros, tiempo máximo ≤ 10 segundos y errores &lt; 1%</t>
  </si>
  <si>
    <t>MTC_0054</t>
  </si>
  <si>
    <t>Medir tiempo de carga del dashboard de métricas de IA con alto volumen</t>
  </si>
  <si>
    <t>El dashboard se muestra con las métricas calculadas correctamente</t>
  </si>
  <si>
    <t>Administrador autenticado y 10.000 predicciones de IA registradas</t>
  </si>
  <si>
    <t>Usuario administrador; 5 usuarios concurrentes consultando el dashboard</t>
  </si>
  <si>
    <t>Tiempo de respuesta promedio ≤ 5 segundos y métricas consistentes con los datos</t>
  </si>
  <si>
    <t>MTC_0055</t>
  </si>
  <si>
    <t>Validar envío simultáneo de mensajes dentro de tickets</t>
  </si>
  <si>
    <t>Todos los mensajes quedan registrados y visibles en el orden correcto</t>
  </si>
  <si>
    <t>50 usuarios autenticados con tickets existentes</t>
  </si>
  <si>
    <t>50 usuarios concurrentes enviando un mensaje a su ticket</t>
  </si>
  <si>
    <t>Se registran 50 mensajes sin pérdidas, tiempo p95 ≤ 2 segundos y errores &lt; 1%</t>
  </si>
  <si>
    <t>MTC_0056</t>
  </si>
  <si>
    <t>Medir tiempo de respuesta de la IA según longitud del ticket</t>
  </si>
  <si>
    <t>El tiempo de clasificación se mantiene dentro del límite para distintos largos de texto</t>
  </si>
  <si>
    <t>Tickets de 50, 500 y 2.000 caracteres (30 ejecuciones cada uno)</t>
  </si>
  <si>
    <t>Tiempo de respuesta promedio ≤ 3 segundos para todos los tamaños y categoría con confianza válida</t>
  </si>
  <si>
    <t>MTC_0057</t>
  </si>
  <si>
    <t>Evaluar escenario mixto de uso con cliente, técnico y administrador</t>
  </si>
  <si>
    <t>El sistema atiende de forma estable los distintos perfiles de usuario en simultáneo</t>
  </si>
  <si>
    <t>Usuarios cliente, técnico y administrador registrados; datos de prueba cargados</t>
  </si>
  <si>
    <t>100 usuarios: 70% clientes (crear y consultar tickets), 20% técnicos (cambiar estado y responder), 10% administradores (dashboard); 10 minutos</t>
  </si>
  <si>
    <t>Sistema / Todos los módulos</t>
  </si>
  <si>
    <t>Errores &lt; 1%, tiempo de respuesta p95 ≤ 3 segundos y sin inconsistencias de datos</t>
  </si>
  <si>
    <t>MTC_0058</t>
  </si>
  <si>
    <t>Evaluar estabilidad del sistema bajo carga sostenida (soak test)</t>
  </si>
  <si>
    <t>El sistema mantiene un rendimiento estable durante un periodo prolongado</t>
  </si>
  <si>
    <t>Sistema operativo y monitoreo de recursos habilitado</t>
  </si>
  <si>
    <t>50 usuarios concurrentes con flujo cliente (login, crear ticket, consultar) durante 30 minutos</t>
  </si>
  <si>
    <t>Sin degradación mayor al 20% del tiempo de respuesta inicial, sin fugas de memoria y errores &lt; 1%</t>
  </si>
  <si>
    <t>MTC_0059</t>
  </si>
  <si>
    <t>Identificar punto de quiebre mediante incremento progresivo de usuarios</t>
  </si>
  <si>
    <t>Se identifica la capacidad máxima y el sistema se recupera al disminuir la carga</t>
  </si>
  <si>
    <t>Sistema operativo y base de datos con respaldo</t>
  </si>
  <si>
    <t>Incremento de 50 a 500 usuarios (+50 cada 2 minutos) en el flujo de login y creación de ticket</t>
  </si>
  <si>
    <t>Se registra el número de usuarios al que aparecen errores; no hay corrupción de datos y el sistema se recupera sin reinicio manual</t>
  </si>
  <si>
    <t>MTC_0060</t>
  </si>
  <si>
    <t>Evaluar comportamiento ante picos repentinos de tráfico (spike test)</t>
  </si>
  <si>
    <t>El sistema responde o informa correctamente ante el pico y se recupera rápidamente</t>
  </si>
  <si>
    <t>Sistema operativo y sin otras cargas activas</t>
  </si>
  <si>
    <t>300 usuarios concurrentes iniciando sesión en 10 segundos, luego regreso a 20 usuarios</t>
  </si>
  <si>
    <t>Autenticación / Sistema</t>
  </si>
  <si>
    <t>Sin caída del servicio, errores controlados y tiempos de respuesta normales dentro de 60 segundos tras el pico</t>
  </si>
  <si>
    <t>MTC_0061</t>
  </si>
  <si>
    <t>Monitorear consumo de recursos del servidor durante pruebas de carga</t>
  </si>
  <si>
    <t>El consumo de recursos se mantiene dentro de límites aceptables</t>
  </si>
  <si>
    <t>Herramienta de monitoreo activa (por ejemplo, htop o Grafana) durante la prueba de escenario mixto</t>
  </si>
  <si>
    <t>Métricas de CPU, memoria RAM, conexiones a base de datos y uso de disco</t>
  </si>
  <si>
    <t>CPU promedio ≤ 80%, memoria sin crecimiento sostenido y conexiones a BD sin agotarse</t>
  </si>
  <si>
    <t>MTC_0062</t>
  </si>
  <si>
    <t>Validar cantidad de consultas a base de datos por vista (N+1)</t>
  </si>
  <si>
    <t>Las vistas principales ejecutan un número controlado de consultas SQL</t>
  </si>
  <si>
    <t>Entorno de desarrollo con django-debug-toolbar o assertNumQueries y datos de prueba cargados</t>
  </si>
  <si>
    <t>Vistas de listado de tickets (50 tickets), detalle de ticket y dashboard de IA</t>
  </si>
  <si>
    <t>Gestión de Tickets / Reportes</t>
  </si>
  <si>
    <t>Cada vista ejecuta un número de consultas constante, sin crecer proporcionalmente a la cantidad de registros</t>
  </si>
  <si>
    <t>MTC_0063</t>
  </si>
  <si>
    <t>Contraseña no contiene la sficiente cantidad de caracteres al crear una cuenta</t>
  </si>
  <si>
    <t>El sistema envie un mensaje solicitande que el usuario ingrese una contraseña con la cantidad minima de caracteres necesarios(8)</t>
  </si>
  <si>
    <t>Ingresar al hambiente de creacion de usuario y llenar el formulario</t>
  </si>
  <si>
    <t>el sistema solicita ingresar cona contraseña con la longitud minima "8" y tambien indica cuantos caracteres tiene la contraseña acutal</t>
  </si>
  <si>
    <t>usuario1
usuario1@gmail.com
contraseña: 12345</t>
  </si>
  <si>
    <t>Registro de usuarios</t>
  </si>
  <si>
    <t>Rechaza contraseñas inferiores a 8 caracteres</t>
  </si>
  <si>
    <t>Mohammed chowdhury</t>
  </si>
  <si>
    <t>MTC_0064</t>
  </si>
  <si>
    <t>Acceso directo a una URL restringida</t>
  </si>
  <si>
    <t>El sistema deniega el acceso o redirige a una página autorizada. No muestra información restringida.</t>
  </si>
  <si>
    <t>Inicia sesión como usuario normal e intenta abrir una URL destinada al administrador o técnico, escribiéndola directamente en el navegador.</t>
  </si>
  <si>
    <t>El sistema permite la navegacion entre paginas que deberian estar permitidas unicamente por el administrador o tecnico</t>
  </si>
  <si>
    <t>Usuario normal y URL de técnico/admin</t>
  </si>
  <si>
    <t>Control de acceso</t>
  </si>
  <si>
    <t>Solo permite acceder a recursos autorizados</t>
  </si>
  <si>
    <t>MTC_0065</t>
  </si>
  <si>
    <t xml:space="preserve">Los cambios </t>
  </si>
  <si>
    <t>El ticket conserva su identificador, descripción y estado actualizado.</t>
  </si>
  <si>
    <t>tener una sesion iniciada como tecnico o administrador. y un ticket creado</t>
  </si>
  <si>
    <t>Abre un ticket, cambia su estado, cierra sesión y vuelve a entrar. Busca el mismo ticket</t>
  </si>
  <si>
    <t>Ticket existente y cambio de estado</t>
  </si>
  <si>
    <t>gestion de tickets</t>
  </si>
  <si>
    <t>Los cambios se guardan y permanecen después de cerrar sesión</t>
  </si>
  <si>
    <t>Casos</t>
  </si>
  <si>
    <t>MTC_0066</t>
  </si>
  <si>
    <t>Validación de campos con espacios</t>
  </si>
  <si>
    <t>El sistema rechaza los campos obligatorios inválidos y no guarda un ticket incompleto.</t>
  </si>
  <si>
    <t>Intenta crear un ticket con el título compuesto solo por espacios. Repite con la descripción vacía o formada solo por espacios.</t>
  </si>
  <si>
    <t>Se lleno el titulo y la descripcion del ticket unicamente con espacio y el ticket se creo correctamente</t>
  </si>
  <si>
    <t>Título y descripción con espacios</t>
  </si>
  <si>
    <t>Gestion de tickets</t>
  </si>
  <si>
    <t>Rechaza campos obligatorios vacíos o compuestos solo por espacios</t>
  </si>
  <si>
    <t>MTC_0067</t>
  </si>
  <si>
    <t>Acceso a un ticket de otro usuario</t>
  </si>
  <si>
    <t>Si la cuenta no tiene permiso para verlo, el sistema bloquea el acceso y no revela sus datos.</t>
  </si>
  <si>
    <t>Con una cuenta de usuario, abre uno de sus tickets y modifica el identificador de la URL para intentar acceder a un ticket ajeno.</t>
  </si>
  <si>
    <t>Un usuario externo puede visualizar el ticket de otro ingresando el id del otro ticket de un usuario externo</t>
  </si>
  <si>
    <t>Dos usuarios y un ticket ajeno</t>
  </si>
  <si>
    <t>Un usuario no puede consultar tickets que no tiene autorización para ver</t>
  </si>
  <si>
    <t>MTC_0068</t>
  </si>
  <si>
    <t>Sesión después de cerrar sesión</t>
  </si>
  <si>
    <t>No puedes volver a utilizar páginas privadas sin autenticarte. Los datos sensibles no quedan accesibles mediante una sesión invalidada.</t>
  </si>
  <si>
    <t>Inicia sesión, cierra sesión y utiliza el botón Atrás del navegador o intenta abrir una página privada directamente.</t>
  </si>
  <si>
    <t>se cierra sesion y al volver atras e interactuar con la pagina redirige al inicio de sesion</t>
  </si>
  <si>
    <t>Usuario autenticado y sesión cerrada</t>
  </si>
  <si>
    <t>Impide acceder a páginas privadas tras cerrar sesión</t>
  </si>
  <si>
    <t>MTC_0069</t>
  </si>
  <si>
    <t>Búsqueda de un ticket inexistente</t>
  </si>
  <si>
    <t>Se muestra un mensaje controlado de no encontrado, sin error 500 ni información técnica interna.</t>
  </si>
  <si>
    <t>Intenta buscar un identificador que no exista o abre una URL con un identificador de ticket inválido.</t>
  </si>
  <si>
    <t>al ingrear en el link un id de ticket inexistente se cae la pagina</t>
  </si>
  <si>
    <t>Identificador de ticket inexistente</t>
  </si>
  <si>
    <t>Gestión de tickets</t>
  </si>
  <si>
    <t>Muestra un error controlado sin exponer información interna</t>
  </si>
  <si>
    <t>MTC_0070</t>
  </si>
  <si>
    <t>Entrada con caracteres especiales</t>
  </si>
  <si>
    <t>El texto se guarda y visualiza correctamente como contenido, sin ejecutar código ni romper la página. Después elimina el ticket de prueba si corresponde.</t>
  </si>
  <si>
    <t>Crea un ticket de prueba con comillas, tildes, símbolos y texto como &lt;escape&gt;&lt;script&gt;alert(1)&lt;/script&gt;&lt;/escape&gt; en un campo de texto. Guarda y vuelve a abrirlo.</t>
  </si>
  <si>
    <t>se permite ingresar caracteres especiales, pero al ingresar "&lt;escape&gt;&lt;script&gt;alert(1)&lt;/script&gt;&lt;/escape&gt; " se guarda como texto e igual permite crearlo</t>
  </si>
  <si>
    <t>Tildes, comillas, símbolos y texto HTML de prueba</t>
  </si>
  <si>
    <t>Validación de entradas</t>
  </si>
  <si>
    <t>El texto se trata como contenido y no ejecuta código</t>
  </si>
  <si>
    <t>MTC_0071</t>
  </si>
  <si>
    <t>Correo electrónico con formato inválido</t>
  </si>
  <si>
    <t>El sistema rechaza el formato inválido y muestra un mensaje de validación.</t>
  </si>
  <si>
    <t>Intenta registrar o modificar un usuario con un correo como usuario@ o usuario.com, según los campos disponibles.</t>
  </si>
  <si>
    <t>El sistema solicita ingresar un correo valido con un "@" y un punto despues del arroa</t>
  </si>
  <si>
    <t xml:space="preserve">se probo con correo@dsadsa (fallo)
dsadasda@asdsa.aqw(exito)
correo8324sjda.asdsa(fallo)
</t>
  </si>
  <si>
    <t>Rechaza direcciones con formato inválido</t>
  </si>
  <si>
    <t>MTC_0072</t>
  </si>
  <si>
    <t>Correo electrónico duplicado</t>
  </si>
  <si>
    <t>El sistema impide el duplicado si el correo debe ser único y no genera errores internos.</t>
  </si>
  <si>
    <t>Intenta registrar dos usuarios con la misma dirección de correo.</t>
  </si>
  <si>
    <t>El sistema niega la creacion de la cuenta por que el correo ya se encuentra registrado</t>
  </si>
  <si>
    <t>se ingreso un correo existente "usuario1@gmail.com"</t>
  </si>
  <si>
    <t>Impide registrar el mismo correo dos veces</t>
  </si>
  <si>
    <t>MTC_0073</t>
  </si>
  <si>
    <t>Contraseña incorrecta repetida</t>
  </si>
  <si>
    <t>Realiza varios intentos de inicio de sesión con una contraseña incorrecta.</t>
  </si>
  <si>
    <t>Los intentos fallidos no permiten ingresar. Si existe una política de bloqueo o limitación, se aplica según lo definido.</t>
  </si>
  <si>
    <t>se intentaron multiples intentos de inicio de sesion y no se logro iniciar sesion 
El sistema no limito los intentos de inicio</t>
  </si>
  <si>
    <t>Cuenta válida y contraseñas incorrectas</t>
  </si>
  <si>
    <t>Auntenticacion</t>
  </si>
  <si>
    <t>Rechaza el acceso y aplica límites si existe ese requisito</t>
  </si>
  <si>
    <t>MTC_0074</t>
  </si>
  <si>
    <t>Modificación de un ticket cerrado</t>
  </si>
  <si>
    <t>El sistema aplica las reglas definidas para tickets cerrados; si no permite modificarlos, debe bloquear el cambio.</t>
  </si>
  <si>
    <t>Abre un ticket cerrado e intenta cambiar su descripción, categoría o estado mediante las opciones disponibles.</t>
  </si>
  <si>
    <t>el sistema permite cambiar su descripcion sin problema, aunque el ticket este cerrado</t>
  </si>
  <si>
    <t>Ticket cerrado</t>
  </si>
  <si>
    <t>Aplica las reglas definidas para modificar tickets cerrados</t>
  </si>
  <si>
    <t>MTC_0075</t>
  </si>
  <si>
    <t>Acceso a una página con sesión expirada</t>
  </si>
  <si>
    <t>La aplicación solicita autenticación nuevamente y no permite acceder a la información privada.</t>
  </si>
  <si>
    <t>Iniciar sesión, deja que la sesión expire si existe ese límite o invalídala de forma controlada y luego intenta abrir una página privada.</t>
  </si>
  <si>
    <t>la pagina no tiene un limite de sesion creada</t>
  </si>
  <si>
    <t>Sesión autenticada y sesión invalidada</t>
  </si>
  <si>
    <t>Autenticacion</t>
  </si>
  <si>
    <t>La sesión expirada no permite acceder a páginas privadas</t>
  </si>
  <si>
    <t>MTC_0076</t>
  </si>
  <si>
    <t>Persistencia después de reiniciar Django</t>
  </si>
  <si>
    <t>El ticket continúa disponible y conserva sus datos, siempre que se utilice la misma base de datos.</t>
  </si>
  <si>
    <t>Crear un ticket de prueba, detén el servidor Django, vuelve a iniciarlo y busca el ticket.</t>
  </si>
  <si>
    <t>El ticket se creo y se guardo exitosamente dentro del sistema</t>
  </si>
  <si>
    <t>Ticket creado previamente</t>
  </si>
  <si>
    <t>Base de datos</t>
  </si>
  <si>
    <t>Conserva el ticket después de reiniciar Django</t>
  </si>
  <si>
    <t>MTC_0077</t>
  </si>
  <si>
    <t>Acceso a la página principal sin iniciar sesión</t>
  </si>
  <si>
    <t>La aplicación solicita iniciar sesión o deniega el acceso.</t>
  </si>
  <si>
    <t>Cierra sesión y escribe directamente en el navegador la URL de la página principal privada.</t>
  </si>
  <si>
    <t>el sistema niega cualquier acceso sin tener una sesion iniciada</t>
  </si>
  <si>
    <t>Usuario sin sesión</t>
  </si>
  <si>
    <t>Las páginas privadas requieren autenticación</t>
  </si>
  <si>
    <t>MTC_0078</t>
  </si>
  <si>
    <t>Acceso a la página de inicio de sesión con una sesion iniciada</t>
  </si>
  <si>
    <t xml:space="preserve">Se muestran los campos necesarios y el formulario puede utilizarse sin errores visuales ni del servidor. </t>
  </si>
  <si>
    <t>Abre la URL de inicio de sesión y comprueba que el formulario se visualice correctamente.</t>
  </si>
  <si>
    <t>el formulario se muestra correctamente, auque tenga una sesion iniciada. si inicio una sesion con otra cuenta. cambia la cuenta sin problemas</t>
  </si>
  <si>
    <t>Usuario con sesión activa</t>
  </si>
  <si>
    <t>La página de inicio de sesión se comporta según el diseño previsto</t>
  </si>
  <si>
    <t>MTC_0079</t>
  </si>
  <si>
    <t>Inicio de sesión con campos vacíos</t>
  </si>
  <si>
    <t>El formulario impide el envío o muestra un mensaje de validación, sin permitir el acceso.</t>
  </si>
  <si>
    <t>Deja vacíos el usuario o correo y la contraseña, e intenta iniciar sesión.</t>
  </si>
  <si>
    <t>El sistema solicita ingresar los datos, sin importar cuantas veces se presione el boton de "iniciar sesion"</t>
  </si>
  <si>
    <t>Usuario/correo y contraseña vacíos</t>
  </si>
  <si>
    <t>No permite iniciar sesión con campos obligatorios vacíos</t>
  </si>
  <si>
    <t>MTC_0080</t>
  </si>
  <si>
    <t>Cierre de sesión y nuevo acceso</t>
  </si>
  <si>
    <t>La sesión anterior queda invalidada y es necesario autenticarse otra vez.</t>
  </si>
  <si>
    <t>Inicia sesión con una cuenta válida, cierra sesión e intenta entrar nuevamente a una página privada</t>
  </si>
  <si>
    <t>EL sistema niega el acceso a cualquier url de la pagina</t>
  </si>
  <si>
    <t>Sesión iniciada y posteriormente cerrada</t>
  </si>
  <si>
    <t>Bloquea el acceso privado después del cierre de sesión</t>
  </si>
  <si>
    <t>MTC_0081</t>
  </si>
  <si>
    <t>Acceso a una URL inexistente</t>
  </si>
  <si>
    <t>Se muestra una página de error 404 controlada, sin una traza técnica detallada.</t>
  </si>
  <si>
    <t xml:space="preserve">Ingresar a la pagina y poner una url inexistente </t>
  </si>
  <si>
    <t>el sistema de cae con un error 404 de django</t>
  </si>
  <si>
    <t>Ruta inexistente</t>
  </si>
  <si>
    <t>Navegación y errores</t>
  </si>
  <si>
    <t>Devuelve un 404 controlado sin mostrar trazas técnicas en producción</t>
  </si>
  <si>
    <t>Total de casos</t>
  </si>
  <si>
    <t>MTC_0082</t>
  </si>
  <si>
    <t>Recarga de una página después de guardar</t>
  </si>
  <si>
    <t>No se duplica la operación ni se crean registros adicionales al recargar.</t>
  </si>
  <si>
    <t>Realiza una acción que guarde datos, como crear un ticket válido. Recarga la página y comprueba si se vuelve a enviar el formulario.</t>
  </si>
  <si>
    <t>Si se pulsa depetida mente el boton de crear ticket y recargar pagina, es posible que se creen varios tiquets</t>
  </si>
  <si>
    <t>Doble clic y recarga miltiple de la pagina y del formulario</t>
  </si>
  <si>
    <t>Una sola acción no genera tickets duplicados</t>
  </si>
  <si>
    <t>MTC_0083</t>
  </si>
  <si>
    <t>Persistencia de tickets tras reiniciar el servidor</t>
  </si>
  <si>
    <t>Crea un ticket de prueba, detén Django, vuelve a ejecutar `python manage.py runserver` y busca el ticket.</t>
  </si>
  <si>
    <t>El registro continúa disponible si se mantiene la misma base de datos y no se ejecutan operaciones que la borren.</t>
  </si>
  <si>
    <t>El ticket se queda guardado despues del reinicio de Django</t>
  </si>
  <si>
    <t>Ticket creado antes del reinicio</t>
  </si>
  <si>
    <t>El ticket permanece después de reiniciar el servidor</t>
  </si>
  <si>
    <t>MTC_0084</t>
  </si>
  <si>
    <t>Acceso a funciones según el rol</t>
  </si>
  <si>
    <t>Cada rol ve únicamente las opciones que le corresponden según los permisos definidos.</t>
  </si>
  <si>
    <t>Inicia sesión con cuentas de distintos roles disponibles y compara las opciones que aparecen en el menú.</t>
  </si>
  <si>
    <t>el usuario esta limitado a ver su perfil y crear tikets entre otros, en cambio el tecnico tiene permiso para ver detalle de ticket de todos los usuarios. el administrador ademas puede ver un resumen de reportes</t>
  </si>
  <si>
    <t>Cuentas de usuario, técnico y administrador</t>
  </si>
  <si>
    <t>Gestión de permisos</t>
  </si>
  <si>
    <t>Cada rol solo accede a las funciones autorizadas</t>
  </si>
  <si>
    <t>MTC_0085</t>
  </si>
  <si>
    <t>% de  avance</t>
  </si>
  <si>
    <t>Visualización de mensajes de error</t>
  </si>
  <si>
    <t>El mensaje es comprensible para el usuario y no revela rutas internas, consultas SQL, contraseñas ni trazas de Django.</t>
  </si>
  <si>
    <t>Provoca una entrada inválida en un formulario, como enviar datos obligatorios vacíos, y revisa el mensaje que aparece.</t>
  </si>
  <si>
    <t>el sistema envia "complete este campo" y no se envia el formulario</t>
  </si>
  <si>
    <t>Formulario con un campo obligatorio vacío</t>
  </si>
  <si>
    <t>Validación de formularios</t>
  </si>
  <si>
    <t>Muestra un mensaje comprensible y no procesa los datos inválidos</t>
  </si>
  <si>
    <t>Total casos que ejecuto cada integrante del equipo</t>
  </si>
  <si>
    <t>Mohammed Chowdhury</t>
  </si>
  <si>
    <t>Diego Triviños</t>
  </si>
  <si>
    <t>Total Casos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</si>
</sst>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sz val="24.0"/>
      <color theme="1"/>
      <name val="Calibri"/>
    </font>
    <font/>
    <font>
      <u/>
      <sz val="11.0"/>
      <color theme="1"/>
      <name val="Calibri"/>
    </font>
    <font>
      <u/>
      <color rgb="FF0000FF"/>
    </font>
    <font>
      <sz val="11.0"/>
      <color rgb="FF000000"/>
      <name val="Calibri"/>
    </font>
    <font>
      <sz val="11.0"/>
      <color rgb="FF000000"/>
      <name val="Inconsolata"/>
    </font>
    <font>
      <sz val="9.0"/>
      <color rgb="FF000000"/>
      <name val="Calibri"/>
    </font>
    <font>
      <sz val="20.0"/>
      <color theme="1"/>
      <name val="Calibri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EAD4"/>
        <bgColor rgb="FFD9EAD4"/>
      </patternFill>
    </fill>
  </fills>
  <borders count="3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</border>
    <border>
      <top/>
    </border>
    <border>
      <left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3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2" fontId="1" numFmtId="0" xfId="0" applyBorder="1" applyFill="1" applyFont="1"/>
    <xf borderId="4" fillId="2" fontId="1" numFmtId="0" xfId="0" applyBorder="1" applyFill="1" applyFont="1"/>
    <xf borderId="5" fillId="3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2" fontId="1" numFmtId="0" xfId="0" applyBorder="1" applyFill="1" applyFont="1"/>
    <xf borderId="7" fillId="2" fontId="1" numFmtId="0" xfId="0" applyBorder="1" applyFill="1" applyFont="1"/>
    <xf borderId="2" fillId="4" fontId="1" numFmtId="1" xfId="0" applyAlignment="1" applyBorder="1" applyFill="1" applyFont="1" applyNumberFormat="1">
      <alignment horizontal="center" shrinkToFit="0" vertical="center" wrapText="1"/>
    </xf>
    <xf borderId="8" fillId="2" fontId="1" numFmtId="0" xfId="0" applyBorder="1" applyFill="1" applyFont="1"/>
    <xf borderId="2" fillId="5" fontId="2" numFmtId="1" xfId="0" applyBorder="1" applyFill="1" applyFont="1" applyNumberFormat="1"/>
    <xf borderId="2" fillId="5" fontId="2" numFmtId="0" xfId="0" applyAlignment="1" applyBorder="1" applyFill="1" applyFont="1">
      <alignment shrinkToFit="0" vertical="bottom" wrapText="1"/>
    </xf>
    <xf borderId="9" fillId="2" fontId="3" numFmtId="0" xfId="0" applyAlignment="1" applyBorder="1" applyFill="1" applyFont="1">
      <alignment horizontal="center" shrinkToFit="0" vertical="center" wrapText="1"/>
    </xf>
    <xf borderId="2" fillId="5" fontId="2" numFmtId="0" xfId="0" applyBorder="1" applyFill="1" applyFont="1"/>
    <xf borderId="10" fillId="0" fontId="4" numFmtId="0" xfId="0" applyBorder="1" applyFont="1"/>
    <xf borderId="2" fillId="5" fontId="2" numFmtId="0" xfId="0" applyAlignment="1" applyBorder="1" applyFill="1" applyFont="1">
      <alignment shrinkToFit="0" wrapText="1"/>
    </xf>
    <xf borderId="11" fillId="0" fontId="4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9" fillId="2" fontId="5" numFmtId="0" xfId="0" applyAlignment="1" applyBorder="1" applyFill="1" applyFont="1">
      <alignment horizontal="left" shrinkToFit="0" vertical="top" wrapText="1"/>
    </xf>
    <xf borderId="12" fillId="2" fontId="1" numFmtId="0" xfId="0" applyBorder="1" applyFill="1" applyFont="1"/>
    <xf borderId="13" fillId="2" fontId="1" numFmtId="0" xfId="0" applyBorder="1" applyFill="1" applyFont="1"/>
    <xf borderId="14" fillId="2" fontId="1" numFmtId="0" xfId="0" applyBorder="1" applyFill="1" applyFont="1"/>
    <xf borderId="2" fillId="5" fontId="6" numFmtId="0" xfId="0" applyAlignment="1" applyBorder="1" applyFill="1" applyFont="1">
      <alignment shrinkToFit="0" wrapText="1"/>
    </xf>
    <xf borderId="2" fillId="5" fontId="2" numFmtId="0" xfId="0" applyAlignment="1" applyBorder="1" applyFill="1" applyFont="1">
      <alignment shrinkToFit="0" vertical="top" wrapText="1"/>
    </xf>
    <xf borderId="2" fillId="4" fontId="1" numFmtId="0" xfId="0" applyAlignment="1" applyBorder="1" applyFill="1" applyFont="1">
      <alignment horizontal="left" shrinkToFit="0" vertical="bottom" wrapText="1"/>
    </xf>
    <xf borderId="2" fillId="5" fontId="2" numFmtId="0" xfId="0" applyAlignment="1" applyBorder="1" applyFill="1" applyFont="1">
      <alignment horizontal="left" shrinkToFit="0" vertical="bottom" wrapText="1"/>
    </xf>
    <xf borderId="2" fillId="5" fontId="2" numFmtId="0" xfId="0" applyAlignment="1" applyBorder="1" applyFill="1" applyFont="1">
      <alignment horizontal="left" vertical="bottom"/>
    </xf>
    <xf borderId="2" fillId="5" fontId="7" numFmtId="1" xfId="0" applyAlignment="1" applyBorder="1" applyFill="1" applyFont="1" applyNumberFormat="1">
      <alignment shrinkToFit="0" vertical="bottom" wrapText="0"/>
    </xf>
    <xf borderId="2" fillId="4" fontId="7" numFmtId="0" xfId="0" applyAlignment="1" applyBorder="1" applyFill="1" applyFont="1">
      <alignment horizontal="left" shrinkToFit="0" vertical="bottom" wrapText="1"/>
    </xf>
    <xf borderId="2" fillId="4" fontId="7" numFmtId="0" xfId="0" applyAlignment="1" applyBorder="1" applyFill="1" applyFont="1">
      <alignment horizontal="left" vertical="bottom"/>
    </xf>
    <xf borderId="2" fillId="5" fontId="7" numFmtId="0" xfId="0" applyAlignment="1" applyBorder="1" applyFill="1" applyFont="1">
      <alignment horizontal="left" shrinkToFit="0" vertical="bottom" wrapText="1"/>
    </xf>
    <xf borderId="2" fillId="5" fontId="7" numFmtId="0" xfId="0" applyAlignment="1" applyBorder="1" applyFill="1" applyFont="1">
      <alignment horizontal="left" shrinkToFit="0" vertical="bottom" wrapText="0"/>
    </xf>
    <xf borderId="2" fillId="4" fontId="7" numFmtId="0" xfId="0" applyAlignment="1" applyBorder="1" applyFill="1" applyFont="1">
      <alignment horizontal="left" readingOrder="0" shrinkToFit="0" vertical="bottom" wrapText="1"/>
    </xf>
    <xf borderId="1" fillId="2" fontId="1" numFmtId="0" xfId="0" applyAlignment="1" applyBorder="1" applyFill="1" applyFont="1">
      <alignment horizontal="center"/>
    </xf>
    <xf borderId="2" fillId="0" fontId="1" numFmtId="1" xfId="0" applyAlignment="1" applyBorder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2" fillId="5" fontId="1" numFmtId="1" xfId="0" applyAlignment="1" applyBorder="1" applyFill="1" applyFont="1" applyNumberFormat="1">
      <alignment vertical="bottom"/>
    </xf>
    <xf borderId="2" fillId="4" fontId="1" numFmtId="0" xfId="0" applyAlignment="1" applyBorder="1" applyFill="1" applyFont="1">
      <alignment horizontal="center" shrinkToFit="0" wrapText="1"/>
    </xf>
    <xf borderId="2" fillId="4" fontId="1" numFmtId="0" xfId="0" applyAlignment="1" applyBorder="1" applyFill="1" applyFont="1">
      <alignment shrinkToFit="0" wrapText="1"/>
    </xf>
    <xf borderId="1" fillId="2" fontId="8" numFmtId="0" xfId="0" applyBorder="1" applyFill="1" applyFont="1"/>
    <xf borderId="15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shrinkToFit="0" wrapText="1"/>
    </xf>
    <xf borderId="16" fillId="0" fontId="4" numFmtId="0" xfId="0" applyBorder="1" applyFont="1"/>
    <xf borderId="17" fillId="0" fontId="4" numFmtId="0" xfId="0" applyBorder="1" applyFont="1"/>
    <xf borderId="2" fillId="4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vertical="center"/>
    </xf>
    <xf borderId="18" fillId="2" fontId="1" numFmtId="0" xfId="0" applyAlignment="1" applyBorder="1" applyFill="1" applyFont="1">
      <alignment vertical="center"/>
    </xf>
    <xf borderId="19" fillId="0" fontId="4" numFmtId="0" xfId="0" applyBorder="1" applyFont="1"/>
    <xf borderId="1" fillId="2" fontId="9" numFmtId="0" xfId="0" applyAlignment="1" applyBorder="1" applyFill="1" applyFont="1">
      <alignment horizontal="center"/>
    </xf>
    <xf borderId="20" fillId="2" fontId="1" numFmtId="0" xfId="0" applyAlignment="1" applyBorder="1" applyFill="1" applyFont="1">
      <alignment vertical="center"/>
    </xf>
    <xf borderId="21" fillId="0" fontId="4" numFmtId="0" xfId="0" applyBorder="1" applyFont="1"/>
    <xf borderId="2" fillId="2" fontId="9" numFmtId="0" xfId="0" applyAlignment="1" applyBorder="1" applyFill="1" applyFont="1">
      <alignment horizontal="center"/>
    </xf>
    <xf borderId="22" fillId="2" fontId="10" numFmtId="164" xfId="0" applyAlignment="1" applyBorder="1" applyFill="1" applyFont="1" applyNumberFormat="1">
      <alignment horizontal="center" vertical="center"/>
    </xf>
    <xf borderId="23" fillId="0" fontId="4" numFmtId="0" xfId="0" applyBorder="1" applyFont="1"/>
    <xf borderId="15" fillId="2" fontId="10" numFmtId="9" xfId="0" applyAlignment="1" applyBorder="1" applyFill="1" applyFont="1" applyNumberFormat="1">
      <alignment horizontal="center" vertical="center"/>
    </xf>
    <xf borderId="24" fillId="0" fontId="4" numFmtId="0" xfId="0" applyBorder="1" applyFont="1"/>
    <xf borderId="25" fillId="0" fontId="4" numFmtId="0" xfId="0" applyBorder="1" applyFont="1"/>
    <xf borderId="22" fillId="2" fontId="1" numFmtId="0" xfId="0" applyAlignment="1" applyBorder="1" applyFill="1" applyFont="1">
      <alignment horizontal="center" shrinkToFit="0" vertical="center" wrapText="1"/>
    </xf>
    <xf borderId="26" fillId="0" fontId="4" numFmtId="0" xfId="0" applyBorder="1" applyFont="1"/>
    <xf borderId="20" fillId="2" fontId="1" numFmtId="0" xfId="0" applyBorder="1" applyFill="1" applyFont="1"/>
    <xf borderId="27" fillId="0" fontId="4" numFmtId="0" xfId="0" applyBorder="1" applyFont="1"/>
    <xf borderId="28" fillId="0" fontId="4" numFmtId="0" xfId="0" applyBorder="1" applyFont="1"/>
    <xf borderId="2" fillId="2" fontId="1" numFmtId="0" xfId="0" applyBorder="1" applyFill="1" applyFont="1"/>
    <xf borderId="18" fillId="2" fontId="1" numFmtId="0" xfId="0" applyAlignment="1" applyBorder="1" applyFill="1" applyFont="1">
      <alignment horizontal="center"/>
    </xf>
    <xf borderId="29" fillId="0" fontId="4" numFmtId="0" xfId="0" applyBorder="1" applyFont="1"/>
    <xf borderId="2" fillId="2" fontId="1" numFmtId="0" xfId="0" applyAlignment="1" applyBorder="1" applyFill="1" applyFont="1">
      <alignment horizontal="center"/>
    </xf>
    <xf borderId="1" fillId="2" fontId="11" numFmtId="0" xfId="0" applyBorder="1" applyFill="1" applyFont="1"/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893134481"/>
        <c:axId val="801224373"/>
      </c:barChart>
      <c:catAx>
        <c:axId val="8931344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1224373"/>
      </c:catAx>
      <c:valAx>
        <c:axId val="8012243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3134481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noFill/>
              </a:ln>
            </c:spPr>
          </c:dPt>
          <c:cat>
            <c:strRef>
              <c:f>Control!$D$18:$D$21</c:f>
            </c:strRef>
          </c:cat>
          <c:val>
            <c:numRef>
              <c:f>Control!$E$18:$E$21</c:f>
              <c:numCache/>
            </c:numRef>
          </c:val>
        </c:ser>
        <c:ser>
          <c:idx val="1"/>
          <c:order val="1"/>
          <c:invertIfNegative val="0"/>
          <c:cat>
            <c:strRef>
              <c:f>Control!$D$18:$D$21</c:f>
            </c:strRef>
          </c:cat>
          <c:val>
            <c:numRef>
              <c:f>Control!$F$18:$F$21</c:f>
              <c:numCache/>
            </c:numRef>
          </c:val>
        </c:ser>
        <c:axId val="1301054982"/>
        <c:axId val="1474685212"/>
      </c:barChart>
      <c:catAx>
        <c:axId val="1301054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74685212"/>
      </c:catAx>
      <c:valAx>
        <c:axId val="1474685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01054982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0</xdr:row>
      <xdr:rowOff>57150</xdr:rowOff>
    </xdr:from>
    <xdr:ext cx="4314825" cy="2324100"/>
    <xdr:graphicFrame>
      <xdr:nvGraphicFramePr>
        <xdr:cNvPr id="144080750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66675</xdr:colOff>
      <xdr:row>13</xdr:row>
      <xdr:rowOff>104775</xdr:rowOff>
    </xdr:from>
    <xdr:ext cx="4429125" cy="2114550"/>
    <xdr:graphicFrame>
      <xdr:nvGraphicFramePr>
        <xdr:cNvPr id="119626400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orreo@ejemplo.cl" TargetMode="External"/><Relationship Id="rId2" Type="http://schemas.openxmlformats.org/officeDocument/2006/relationships/hyperlink" Target="mailto:usuario@tixai.cl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5"/>
      <c r="C2" s="6"/>
      <c r="D2" s="6"/>
      <c r="E2" s="6"/>
      <c r="F2" s="6"/>
      <c r="G2" s="6"/>
      <c r="H2" s="6"/>
      <c r="I2" s="6"/>
      <c r="J2" s="6"/>
      <c r="K2" s="6"/>
      <c r="L2" s="9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10"/>
      <c r="C3" s="5"/>
      <c r="D3" s="6"/>
      <c r="E3" s="6"/>
      <c r="F3" s="6"/>
      <c r="G3" s="6"/>
      <c r="H3" s="6"/>
      <c r="I3" s="6"/>
      <c r="J3" s="6"/>
      <c r="K3" s="9"/>
      <c r="L3" s="1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10"/>
      <c r="C4" s="10"/>
      <c r="D4" s="2"/>
      <c r="E4" s="2"/>
      <c r="F4" s="2"/>
      <c r="G4" s="2"/>
      <c r="H4" s="2"/>
      <c r="I4" s="2"/>
      <c r="J4" s="2"/>
      <c r="K4" s="12"/>
      <c r="L4" s="1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10"/>
      <c r="C5" s="10"/>
      <c r="D5" s="2"/>
      <c r="E5" s="2"/>
      <c r="F5" s="2"/>
      <c r="G5" s="2"/>
      <c r="H5" s="2"/>
      <c r="I5" s="2"/>
      <c r="J5" s="2"/>
      <c r="K5" s="12"/>
      <c r="L5" s="1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10"/>
      <c r="C6" s="10"/>
      <c r="D6" s="2"/>
      <c r="E6" s="15" t="s">
        <v>23</v>
      </c>
      <c r="F6" s="17"/>
      <c r="G6" s="17"/>
      <c r="H6" s="17"/>
      <c r="I6" s="17"/>
      <c r="J6" s="2"/>
      <c r="K6" s="12"/>
      <c r="L6" s="1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10"/>
      <c r="C7" s="10"/>
      <c r="D7" s="2"/>
      <c r="E7" s="19"/>
      <c r="J7" s="2"/>
      <c r="K7" s="12"/>
      <c r="L7" s="1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10"/>
      <c r="C8" s="10"/>
      <c r="D8" s="2"/>
      <c r="E8" s="19"/>
      <c r="J8" s="2"/>
      <c r="K8" s="12"/>
      <c r="L8" s="1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10"/>
      <c r="C9" s="10"/>
      <c r="D9" s="2"/>
      <c r="E9" s="19"/>
      <c r="J9" s="2"/>
      <c r="K9" s="12"/>
      <c r="L9" s="1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10"/>
      <c r="C10" s="10"/>
      <c r="D10" s="2"/>
      <c r="E10" s="19"/>
      <c r="J10" s="2"/>
      <c r="K10" s="12"/>
      <c r="L10" s="1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10"/>
      <c r="C11" s="10"/>
      <c r="D11" s="2"/>
      <c r="E11" s="2"/>
      <c r="F11" s="2"/>
      <c r="G11" s="2"/>
      <c r="H11" s="2"/>
      <c r="I11" s="2"/>
      <c r="J11" s="2"/>
      <c r="K11" s="12"/>
      <c r="L11" s="1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10"/>
      <c r="C12" s="10"/>
      <c r="D12" s="2"/>
      <c r="E12" s="2"/>
      <c r="F12" s="2"/>
      <c r="G12" s="2"/>
      <c r="H12" s="2"/>
      <c r="I12" s="2"/>
      <c r="J12" s="2"/>
      <c r="K12" s="12"/>
      <c r="L12" s="1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10"/>
      <c r="C13" s="10"/>
      <c r="D13" s="2"/>
      <c r="E13" s="2"/>
      <c r="F13" s="2"/>
      <c r="G13" s="2"/>
      <c r="H13" s="2"/>
      <c r="I13" s="2"/>
      <c r="J13" s="2"/>
      <c r="K13" s="12"/>
      <c r="L13" s="1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10"/>
      <c r="C14" s="10"/>
      <c r="D14" s="2"/>
      <c r="E14" s="2"/>
      <c r="F14" s="2"/>
      <c r="G14" s="2"/>
      <c r="H14" s="2"/>
      <c r="I14" s="2"/>
      <c r="J14" s="2"/>
      <c r="K14" s="12"/>
      <c r="L14" s="1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10"/>
      <c r="C15" s="10"/>
      <c r="D15" s="2"/>
      <c r="E15" s="2"/>
      <c r="F15" s="2"/>
      <c r="G15" s="2"/>
      <c r="H15" s="2"/>
      <c r="I15" s="2"/>
      <c r="J15" s="2"/>
      <c r="K15" s="12"/>
      <c r="L15" s="1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10"/>
      <c r="C16" s="10"/>
      <c r="D16" s="2"/>
      <c r="E16" s="2"/>
      <c r="F16" s="2"/>
      <c r="G16" s="2"/>
      <c r="H16" s="2"/>
      <c r="I16" s="2"/>
      <c r="J16" s="2"/>
      <c r="K16" s="12"/>
      <c r="L16" s="1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10"/>
      <c r="C17" s="10"/>
      <c r="D17" s="2"/>
      <c r="E17" s="2"/>
      <c r="F17" s="2"/>
      <c r="G17" s="2"/>
      <c r="H17" s="2"/>
      <c r="I17" s="2"/>
      <c r="J17" s="2"/>
      <c r="K17" s="12"/>
      <c r="L17" s="1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10"/>
      <c r="C18" s="10"/>
      <c r="D18" s="2"/>
      <c r="E18" s="2"/>
      <c r="F18" s="2"/>
      <c r="G18" s="2"/>
      <c r="H18" s="2"/>
      <c r="I18" s="2"/>
      <c r="J18" s="2"/>
      <c r="K18" s="12"/>
      <c r="L18" s="1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10"/>
      <c r="C19" s="10"/>
      <c r="D19" s="2"/>
      <c r="E19" s="2"/>
      <c r="F19" s="2"/>
      <c r="G19" s="2"/>
      <c r="H19" s="2"/>
      <c r="I19" s="2"/>
      <c r="J19" s="2"/>
      <c r="K19" s="12"/>
      <c r="L19" s="1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10"/>
      <c r="C20" s="10"/>
      <c r="D20" s="2"/>
      <c r="E20" s="2"/>
      <c r="F20" s="2"/>
      <c r="G20" s="2"/>
      <c r="H20" s="2"/>
      <c r="I20" s="2"/>
      <c r="J20" s="2"/>
      <c r="K20" s="12"/>
      <c r="L20" s="1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10"/>
      <c r="C21" s="10"/>
      <c r="D21" s="2"/>
      <c r="E21" s="2"/>
      <c r="F21" s="2"/>
      <c r="G21" s="2"/>
      <c r="H21" s="2"/>
      <c r="I21" s="2"/>
      <c r="J21" s="2"/>
      <c r="K21" s="12"/>
      <c r="L21" s="1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10"/>
      <c r="C22" s="10"/>
      <c r="D22" s="2"/>
      <c r="E22" s="2"/>
      <c r="F22" s="2"/>
      <c r="G22" s="2"/>
      <c r="H22" s="2"/>
      <c r="I22" s="2"/>
      <c r="J22" s="2"/>
      <c r="K22" s="12"/>
      <c r="L22" s="1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10"/>
      <c r="C23" s="10"/>
      <c r="D23" s="2"/>
      <c r="E23" s="2"/>
      <c r="F23" s="2"/>
      <c r="G23" s="2"/>
      <c r="H23" s="2"/>
      <c r="I23" s="2"/>
      <c r="J23" s="2"/>
      <c r="K23" s="12"/>
      <c r="L23" s="1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10"/>
      <c r="C24" s="10"/>
      <c r="D24" s="2"/>
      <c r="E24" s="2"/>
      <c r="F24" s="2"/>
      <c r="G24" s="2"/>
      <c r="H24" s="2"/>
      <c r="I24" s="2"/>
      <c r="J24" s="2"/>
      <c r="K24" s="12"/>
      <c r="L24" s="1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10"/>
      <c r="C25" s="10"/>
      <c r="D25" s="2"/>
      <c r="E25" s="2"/>
      <c r="F25" s="2"/>
      <c r="G25" s="2"/>
      <c r="H25" s="2"/>
      <c r="I25" s="2"/>
      <c r="J25" s="2"/>
      <c r="K25" s="12"/>
      <c r="L25" s="1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10"/>
      <c r="C26" s="10"/>
      <c r="D26" s="2"/>
      <c r="E26" s="2"/>
      <c r="F26" s="2"/>
      <c r="G26" s="2"/>
      <c r="H26" s="2"/>
      <c r="I26" s="2"/>
      <c r="J26" s="2"/>
      <c r="K26" s="12"/>
      <c r="L26" s="1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10"/>
      <c r="C27" s="10"/>
      <c r="D27" s="2"/>
      <c r="E27" s="2"/>
      <c r="F27" s="2"/>
      <c r="G27" s="2"/>
      <c r="H27" s="2"/>
      <c r="I27" s="2"/>
      <c r="J27" s="2"/>
      <c r="K27" s="12"/>
      <c r="L27" s="1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10"/>
      <c r="C28" s="10"/>
      <c r="D28" s="2"/>
      <c r="E28" s="2"/>
      <c r="F28" s="2"/>
      <c r="G28" s="2"/>
      <c r="H28" s="2"/>
      <c r="I28" s="2"/>
      <c r="J28" s="2"/>
      <c r="K28" s="12"/>
      <c r="L28" s="1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10"/>
      <c r="C29" s="10"/>
      <c r="D29" s="2"/>
      <c r="E29" s="2"/>
      <c r="F29" s="2"/>
      <c r="G29" s="2"/>
      <c r="H29" s="2"/>
      <c r="I29" s="2"/>
      <c r="J29" s="2"/>
      <c r="K29" s="12"/>
      <c r="L29" s="1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10"/>
      <c r="C30" s="10"/>
      <c r="D30" s="2"/>
      <c r="E30" s="2"/>
      <c r="F30" s="2"/>
      <c r="G30" s="2"/>
      <c r="H30" s="2"/>
      <c r="I30" s="2"/>
      <c r="J30" s="2"/>
      <c r="K30" s="12"/>
      <c r="L30" s="1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10"/>
      <c r="C31" s="10"/>
      <c r="D31" s="2"/>
      <c r="E31" s="2"/>
      <c r="F31" s="2"/>
      <c r="G31" s="2"/>
      <c r="H31" s="2"/>
      <c r="I31" s="2"/>
      <c r="J31" s="2"/>
      <c r="K31" s="12"/>
      <c r="L31" s="1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10"/>
      <c r="C32" s="10"/>
      <c r="D32" s="2"/>
      <c r="E32" s="2"/>
      <c r="F32" s="2"/>
      <c r="G32" s="2"/>
      <c r="H32" s="2"/>
      <c r="I32" s="2"/>
      <c r="J32" s="2"/>
      <c r="K32" s="12"/>
      <c r="L32" s="1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10"/>
      <c r="C33" s="10"/>
      <c r="D33" s="2"/>
      <c r="E33" s="2"/>
      <c r="F33" s="2"/>
      <c r="G33" s="2"/>
      <c r="H33" s="2"/>
      <c r="I33" s="2"/>
      <c r="J33" s="2"/>
      <c r="K33" s="12"/>
      <c r="L33" s="1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10"/>
      <c r="C34" s="10"/>
      <c r="D34" s="2"/>
      <c r="E34" s="2"/>
      <c r="F34" s="2"/>
      <c r="G34" s="2"/>
      <c r="H34" s="2"/>
      <c r="I34" s="2"/>
      <c r="J34" s="2"/>
      <c r="K34" s="12"/>
      <c r="L34" s="1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10"/>
      <c r="C35" s="10"/>
      <c r="D35" s="2"/>
      <c r="E35" s="21" t="s">
        <v>106</v>
      </c>
      <c r="F35" s="17"/>
      <c r="G35" s="17"/>
      <c r="H35" s="17"/>
      <c r="I35" s="17"/>
      <c r="J35" s="2"/>
      <c r="K35" s="12"/>
      <c r="L35" s="1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10"/>
      <c r="C36" s="10"/>
      <c r="D36" s="2"/>
      <c r="E36" s="19"/>
      <c r="J36" s="2"/>
      <c r="K36" s="12"/>
      <c r="L36" s="1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10"/>
      <c r="C37" s="10"/>
      <c r="D37" s="2"/>
      <c r="E37" s="19"/>
      <c r="J37" s="2"/>
      <c r="K37" s="12"/>
      <c r="L37" s="1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10"/>
      <c r="C38" s="10"/>
      <c r="D38" s="2"/>
      <c r="E38" s="19"/>
      <c r="J38" s="2"/>
      <c r="K38" s="12"/>
      <c r="L38" s="1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10"/>
      <c r="C39" s="10"/>
      <c r="D39" s="2"/>
      <c r="E39" s="19"/>
      <c r="J39" s="2"/>
      <c r="K39" s="12"/>
      <c r="L39" s="1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10"/>
      <c r="C40" s="10"/>
      <c r="D40" s="2"/>
      <c r="E40" s="2"/>
      <c r="F40" s="2"/>
      <c r="G40" s="2"/>
      <c r="H40" s="2"/>
      <c r="I40" s="2"/>
      <c r="J40" s="2"/>
      <c r="K40" s="12"/>
      <c r="L40" s="1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10"/>
      <c r="C41" s="10"/>
      <c r="D41" s="2"/>
      <c r="E41" s="2"/>
      <c r="F41" s="2"/>
      <c r="G41" s="2"/>
      <c r="H41" s="2"/>
      <c r="I41" s="2"/>
      <c r="J41" s="2"/>
      <c r="K41" s="12"/>
      <c r="L41" s="1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10"/>
      <c r="C42" s="10"/>
      <c r="D42" s="2"/>
      <c r="E42" s="2"/>
      <c r="F42" s="2"/>
      <c r="G42" s="2"/>
      <c r="H42" s="2"/>
      <c r="I42" s="2"/>
      <c r="J42" s="2"/>
      <c r="K42" s="12"/>
      <c r="L42" s="1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10"/>
      <c r="C43" s="22"/>
      <c r="D43" s="23"/>
      <c r="E43" s="23"/>
      <c r="F43" s="23"/>
      <c r="G43" s="23"/>
      <c r="H43" s="23"/>
      <c r="I43" s="23"/>
      <c r="J43" s="23"/>
      <c r="K43" s="24"/>
      <c r="L43" s="1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6:I10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hidden="1" min="1" max="3" width="14.43"/>
    <col customWidth="1" hidden="1" min="4" max="4" width="11.86"/>
    <col customWidth="1" hidden="1" min="5" max="5" width="5.57"/>
    <col customWidth="1" hidden="1" min="6" max="6" width="4.0"/>
    <col customWidth="1" min="7" max="7" width="11.71"/>
    <col customWidth="1" min="8" max="8" width="45.71"/>
    <col customWidth="1" min="9" max="9" width="18.0"/>
    <col customWidth="1" min="10" max="10" width="57.29"/>
    <col customWidth="1" min="11" max="11" width="33.86"/>
    <col customWidth="1" min="12" max="12" width="41.0"/>
    <col customWidth="1" min="13" max="13" width="38.43"/>
    <col customWidth="1" min="14" max="14" width="23.0"/>
    <col customWidth="1" min="15" max="15" width="43.43"/>
    <col customWidth="1" min="16" max="16" width="19.14"/>
    <col customWidth="1" min="17" max="17" width="19.0"/>
    <col customWidth="1" min="18" max="18" width="28.29"/>
    <col customWidth="1" min="19" max="19" width="20.57"/>
  </cols>
  <sheetData>
    <row r="1" ht="14.25" customHeight="1">
      <c r="A1" s="1"/>
      <c r="B1" s="1"/>
      <c r="C1" s="1"/>
      <c r="D1" s="1"/>
      <c r="E1" s="3" t="s">
        <v>6</v>
      </c>
      <c r="F1" s="3"/>
      <c r="G1" s="3" t="s">
        <v>7</v>
      </c>
      <c r="H1" s="3" t="s">
        <v>8</v>
      </c>
      <c r="I1" s="3" t="s">
        <v>9</v>
      </c>
      <c r="J1" s="3" t="s">
        <v>10</v>
      </c>
      <c r="K1" s="4" t="s">
        <v>11</v>
      </c>
      <c r="L1" s="3" t="s">
        <v>12</v>
      </c>
      <c r="M1" s="3" t="s">
        <v>13</v>
      </c>
      <c r="N1" s="3" t="s">
        <v>14</v>
      </c>
      <c r="O1" s="4" t="s">
        <v>15</v>
      </c>
      <c r="P1" s="4" t="s">
        <v>16</v>
      </c>
      <c r="Q1" s="3" t="s">
        <v>17</v>
      </c>
      <c r="R1" s="4" t="s">
        <v>18</v>
      </c>
      <c r="S1" s="7" t="s">
        <v>19</v>
      </c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1"/>
      <c r="B2" s="1"/>
      <c r="C2" s="1"/>
      <c r="D2" s="1"/>
      <c r="E2" s="11" t="s">
        <v>20</v>
      </c>
      <c r="F2" s="11">
        <v>20.0</v>
      </c>
      <c r="G2" s="13" t="s">
        <v>21</v>
      </c>
      <c r="H2" s="14" t="s">
        <v>22</v>
      </c>
      <c r="I2" s="16" t="s">
        <v>0</v>
      </c>
      <c r="J2" s="18" t="s">
        <v>24</v>
      </c>
      <c r="K2" s="18" t="s">
        <v>25</v>
      </c>
      <c r="L2" s="18" t="s">
        <v>26</v>
      </c>
      <c r="M2" s="18" t="s">
        <v>27</v>
      </c>
      <c r="N2" s="16" t="s">
        <v>28</v>
      </c>
      <c r="O2" s="18" t="s">
        <v>29</v>
      </c>
      <c r="P2" s="16" t="s">
        <v>1</v>
      </c>
      <c r="Q2" s="16" t="s">
        <v>30</v>
      </c>
      <c r="R2" s="16" t="s">
        <v>31</v>
      </c>
      <c r="S2" s="16" t="s">
        <v>32</v>
      </c>
      <c r="T2" s="8"/>
      <c r="U2" s="20"/>
      <c r="V2" s="20"/>
      <c r="W2" s="20"/>
      <c r="X2" s="20"/>
      <c r="Y2" s="20"/>
      <c r="Z2" s="20"/>
      <c r="AA2" s="20"/>
      <c r="AB2" s="20"/>
      <c r="AC2" s="20"/>
    </row>
    <row r="3">
      <c r="A3" s="1"/>
      <c r="B3" s="1"/>
      <c r="C3" s="1"/>
      <c r="D3" s="1"/>
      <c r="E3" s="11" t="s">
        <v>20</v>
      </c>
      <c r="F3" s="11">
        <v>30.0</v>
      </c>
      <c r="G3" s="13" t="s">
        <v>33</v>
      </c>
      <c r="H3" s="14" t="s">
        <v>34</v>
      </c>
      <c r="I3" s="16" t="s">
        <v>0</v>
      </c>
      <c r="J3" s="18" t="s">
        <v>35</v>
      </c>
      <c r="K3" s="18" t="s">
        <v>36</v>
      </c>
      <c r="L3" s="18" t="s">
        <v>37</v>
      </c>
      <c r="M3" s="18" t="s">
        <v>38</v>
      </c>
      <c r="N3" s="16" t="s">
        <v>28</v>
      </c>
      <c r="O3" s="18" t="s">
        <v>39</v>
      </c>
      <c r="P3" s="16" t="s">
        <v>1</v>
      </c>
      <c r="Q3" s="16" t="s">
        <v>30</v>
      </c>
      <c r="R3" s="16" t="s">
        <v>31</v>
      </c>
      <c r="S3" s="16" t="s">
        <v>32</v>
      </c>
      <c r="T3" s="8"/>
      <c r="U3" s="20"/>
      <c r="V3" s="20"/>
      <c r="W3" s="20"/>
      <c r="X3" s="20"/>
      <c r="Y3" s="20"/>
      <c r="Z3" s="20"/>
      <c r="AA3" s="20"/>
      <c r="AB3" s="20"/>
      <c r="AC3" s="20"/>
    </row>
    <row r="4">
      <c r="A4" s="1"/>
      <c r="B4" s="1"/>
      <c r="C4" s="1"/>
      <c r="D4" s="1"/>
      <c r="E4" s="11" t="s">
        <v>20</v>
      </c>
      <c r="F4" s="11">
        <v>40.0</v>
      </c>
      <c r="G4" s="13" t="s">
        <v>40</v>
      </c>
      <c r="H4" s="14" t="s">
        <v>41</v>
      </c>
      <c r="I4" s="16" t="s">
        <v>0</v>
      </c>
      <c r="J4" s="18" t="s">
        <v>42</v>
      </c>
      <c r="K4" s="18" t="s">
        <v>43</v>
      </c>
      <c r="L4" s="18" t="s">
        <v>44</v>
      </c>
      <c r="M4" s="18" t="s">
        <v>45</v>
      </c>
      <c r="N4" s="16" t="s">
        <v>28</v>
      </c>
      <c r="O4" s="18" t="s">
        <v>46</v>
      </c>
      <c r="P4" s="16" t="s">
        <v>1</v>
      </c>
      <c r="Q4" s="16" t="s">
        <v>30</v>
      </c>
      <c r="R4" s="16" t="s">
        <v>31</v>
      </c>
      <c r="S4" s="16" t="s">
        <v>32</v>
      </c>
      <c r="T4" s="8"/>
      <c r="U4" s="20"/>
      <c r="V4" s="20"/>
      <c r="W4" s="20"/>
      <c r="X4" s="20"/>
      <c r="Y4" s="20"/>
      <c r="Z4" s="20"/>
      <c r="AA4" s="20"/>
      <c r="AB4" s="20"/>
      <c r="AC4" s="20"/>
    </row>
    <row r="5">
      <c r="A5" s="1"/>
      <c r="B5" s="1"/>
      <c r="C5" s="1"/>
      <c r="D5" s="1"/>
      <c r="E5" s="11" t="s">
        <v>20</v>
      </c>
      <c r="F5" s="11">
        <v>50.0</v>
      </c>
      <c r="G5" s="13" t="s">
        <v>47</v>
      </c>
      <c r="H5" s="14" t="s">
        <v>48</v>
      </c>
      <c r="I5" s="16" t="s">
        <v>0</v>
      </c>
      <c r="J5" s="18" t="s">
        <v>49</v>
      </c>
      <c r="K5" s="18" t="s">
        <v>43</v>
      </c>
      <c r="L5" s="18" t="s">
        <v>50</v>
      </c>
      <c r="M5" s="18" t="s">
        <v>51</v>
      </c>
      <c r="N5" s="16" t="s">
        <v>52</v>
      </c>
      <c r="O5" s="18" t="s">
        <v>53</v>
      </c>
      <c r="P5" s="16" t="s">
        <v>1</v>
      </c>
      <c r="Q5" s="16" t="s">
        <v>30</v>
      </c>
      <c r="R5" s="16" t="s">
        <v>31</v>
      </c>
      <c r="S5" s="16" t="s">
        <v>32</v>
      </c>
      <c r="T5" s="8"/>
      <c r="U5" s="20"/>
      <c r="V5" s="20"/>
      <c r="W5" s="20"/>
      <c r="X5" s="20"/>
      <c r="Y5" s="20"/>
      <c r="Z5" s="20"/>
      <c r="AA5" s="20"/>
      <c r="AB5" s="20"/>
      <c r="AC5" s="20"/>
    </row>
    <row r="6">
      <c r="A6" s="1"/>
      <c r="B6" s="1"/>
      <c r="C6" s="1"/>
      <c r="D6" s="1"/>
      <c r="E6" s="11" t="s">
        <v>20</v>
      </c>
      <c r="F6" s="11">
        <v>60.0</v>
      </c>
      <c r="G6" s="13" t="s">
        <v>54</v>
      </c>
      <c r="H6" s="14" t="s">
        <v>55</v>
      </c>
      <c r="I6" s="16" t="s">
        <v>0</v>
      </c>
      <c r="J6" s="18" t="s">
        <v>56</v>
      </c>
      <c r="K6" s="18" t="s">
        <v>43</v>
      </c>
      <c r="L6" s="18" t="s">
        <v>57</v>
      </c>
      <c r="M6" s="18" t="s">
        <v>58</v>
      </c>
      <c r="N6" s="16" t="s">
        <v>52</v>
      </c>
      <c r="O6" s="18" t="s">
        <v>59</v>
      </c>
      <c r="P6" s="16" t="s">
        <v>1</v>
      </c>
      <c r="Q6" s="16" t="s">
        <v>30</v>
      </c>
      <c r="R6" s="16" t="s">
        <v>31</v>
      </c>
      <c r="S6" s="16" t="s">
        <v>32</v>
      </c>
      <c r="T6" s="8"/>
      <c r="U6" s="20"/>
      <c r="V6" s="20"/>
      <c r="W6" s="20"/>
      <c r="X6" s="20"/>
      <c r="Y6" s="20"/>
      <c r="Z6" s="20"/>
      <c r="AA6" s="20"/>
      <c r="AB6" s="20"/>
      <c r="AC6" s="20"/>
    </row>
    <row r="7">
      <c r="A7" s="1"/>
      <c r="B7" s="1"/>
      <c r="C7" s="1"/>
      <c r="D7" s="1"/>
      <c r="E7" s="11" t="s">
        <v>20</v>
      </c>
      <c r="F7" s="11">
        <v>70.0</v>
      </c>
      <c r="G7" s="13" t="s">
        <v>60</v>
      </c>
      <c r="H7" s="14" t="s">
        <v>61</v>
      </c>
      <c r="I7" s="16" t="s">
        <v>0</v>
      </c>
      <c r="J7" s="18" t="s">
        <v>62</v>
      </c>
      <c r="K7" s="18" t="s">
        <v>43</v>
      </c>
      <c r="L7" s="18" t="s">
        <v>63</v>
      </c>
      <c r="M7" s="18" t="s">
        <v>64</v>
      </c>
      <c r="N7" s="16" t="s">
        <v>52</v>
      </c>
      <c r="O7" s="18" t="s">
        <v>65</v>
      </c>
      <c r="P7" s="16" t="s">
        <v>1</v>
      </c>
      <c r="Q7" s="16" t="s">
        <v>30</v>
      </c>
      <c r="R7" s="16" t="s">
        <v>31</v>
      </c>
      <c r="S7" s="16" t="s">
        <v>32</v>
      </c>
      <c r="T7" s="8"/>
      <c r="U7" s="20"/>
      <c r="V7" s="20"/>
      <c r="W7" s="20"/>
      <c r="X7" s="20"/>
      <c r="Y7" s="20"/>
      <c r="Z7" s="20"/>
      <c r="AA7" s="20"/>
      <c r="AB7" s="20"/>
      <c r="AC7" s="20"/>
    </row>
    <row r="8">
      <c r="A8" s="1"/>
      <c r="B8" s="1"/>
      <c r="C8" s="1"/>
      <c r="D8" s="1"/>
      <c r="E8" s="11" t="s">
        <v>20</v>
      </c>
      <c r="F8" s="11">
        <v>80.0</v>
      </c>
      <c r="G8" s="13" t="s">
        <v>66</v>
      </c>
      <c r="H8" s="14" t="s">
        <v>67</v>
      </c>
      <c r="I8" s="16" t="s">
        <v>0</v>
      </c>
      <c r="J8" s="18" t="s">
        <v>68</v>
      </c>
      <c r="K8" s="18" t="s">
        <v>69</v>
      </c>
      <c r="L8" s="18" t="s">
        <v>70</v>
      </c>
      <c r="M8" s="18" t="s">
        <v>71</v>
      </c>
      <c r="N8" s="16" t="s">
        <v>52</v>
      </c>
      <c r="O8" s="18" t="s">
        <v>72</v>
      </c>
      <c r="P8" s="16" t="s">
        <v>1</v>
      </c>
      <c r="Q8" s="16" t="s">
        <v>70</v>
      </c>
      <c r="R8" s="16" t="s">
        <v>31</v>
      </c>
      <c r="S8" s="16" t="s">
        <v>32</v>
      </c>
      <c r="T8" s="8"/>
      <c r="U8" s="20"/>
      <c r="V8" s="20"/>
      <c r="W8" s="20"/>
      <c r="X8" s="20"/>
      <c r="Y8" s="20"/>
      <c r="Z8" s="20"/>
      <c r="AA8" s="20"/>
      <c r="AB8" s="20"/>
      <c r="AC8" s="20"/>
    </row>
    <row r="9">
      <c r="A9" s="1"/>
      <c r="B9" s="1"/>
      <c r="C9" s="1"/>
      <c r="D9" s="1"/>
      <c r="E9" s="11" t="s">
        <v>20</v>
      </c>
      <c r="F9" s="11">
        <v>90.0</v>
      </c>
      <c r="G9" s="13" t="s">
        <v>73</v>
      </c>
      <c r="H9" s="14" t="s">
        <v>74</v>
      </c>
      <c r="I9" s="16" t="s">
        <v>0</v>
      </c>
      <c r="J9" s="18" t="s">
        <v>75</v>
      </c>
      <c r="K9" s="18" t="s">
        <v>43</v>
      </c>
      <c r="L9" s="18" t="s">
        <v>70</v>
      </c>
      <c r="M9" s="18" t="s">
        <v>76</v>
      </c>
      <c r="N9" s="16" t="s">
        <v>52</v>
      </c>
      <c r="O9" s="18" t="s">
        <v>77</v>
      </c>
      <c r="P9" s="16" t="s">
        <v>1</v>
      </c>
      <c r="Q9" s="16" t="s">
        <v>70</v>
      </c>
      <c r="R9" s="16" t="s">
        <v>31</v>
      </c>
      <c r="S9" s="16" t="s">
        <v>32</v>
      </c>
      <c r="T9" s="8"/>
      <c r="U9" s="20"/>
      <c r="V9" s="20"/>
      <c r="W9" s="20"/>
      <c r="X9" s="20"/>
      <c r="Y9" s="20"/>
      <c r="Z9" s="20"/>
      <c r="AA9" s="20"/>
      <c r="AB9" s="20"/>
      <c r="AC9" s="20"/>
    </row>
    <row r="10">
      <c r="A10" s="1"/>
      <c r="B10" s="1"/>
      <c r="C10" s="1"/>
      <c r="D10" s="1"/>
      <c r="E10" s="11" t="s">
        <v>20</v>
      </c>
      <c r="F10" s="11">
        <v>100.0</v>
      </c>
      <c r="G10" s="13" t="s">
        <v>78</v>
      </c>
      <c r="H10" s="14" t="s">
        <v>79</v>
      </c>
      <c r="I10" s="16" t="s">
        <v>0</v>
      </c>
      <c r="J10" s="18" t="s">
        <v>80</v>
      </c>
      <c r="K10" s="18" t="s">
        <v>81</v>
      </c>
      <c r="L10" s="18" t="s">
        <v>82</v>
      </c>
      <c r="M10" s="18" t="s">
        <v>83</v>
      </c>
      <c r="N10" s="16" t="s">
        <v>84</v>
      </c>
      <c r="O10" s="18" t="s">
        <v>85</v>
      </c>
      <c r="P10" s="16" t="s">
        <v>1</v>
      </c>
      <c r="Q10" s="16" t="s">
        <v>30</v>
      </c>
      <c r="R10" s="16" t="s">
        <v>31</v>
      </c>
      <c r="S10" s="16" t="s">
        <v>32</v>
      </c>
      <c r="T10" s="8"/>
      <c r="U10" s="20"/>
      <c r="V10" s="20"/>
      <c r="W10" s="20"/>
      <c r="X10" s="20"/>
      <c r="Y10" s="20"/>
      <c r="Z10" s="20"/>
      <c r="AA10" s="20"/>
      <c r="AB10" s="20"/>
      <c r="AC10" s="20"/>
    </row>
    <row r="11">
      <c r="A11" s="1"/>
      <c r="B11" s="1"/>
      <c r="C11" s="1"/>
      <c r="D11" s="1"/>
      <c r="E11" s="11" t="s">
        <v>20</v>
      </c>
      <c r="F11" s="11">
        <v>110.0</v>
      </c>
      <c r="G11" s="13" t="s">
        <v>86</v>
      </c>
      <c r="H11" s="14" t="s">
        <v>87</v>
      </c>
      <c r="I11" s="16" t="s">
        <v>0</v>
      </c>
      <c r="J11" s="18" t="s">
        <v>88</v>
      </c>
      <c r="K11" s="18" t="s">
        <v>89</v>
      </c>
      <c r="L11" s="18" t="s">
        <v>90</v>
      </c>
      <c r="M11" s="18" t="s">
        <v>91</v>
      </c>
      <c r="N11" s="16" t="s">
        <v>84</v>
      </c>
      <c r="O11" s="18" t="s">
        <v>92</v>
      </c>
      <c r="P11" s="16" t="s">
        <v>1</v>
      </c>
      <c r="Q11" s="16" t="s">
        <v>30</v>
      </c>
      <c r="R11" s="16" t="s">
        <v>31</v>
      </c>
      <c r="S11" s="16" t="s">
        <v>32</v>
      </c>
      <c r="T11" s="8"/>
      <c r="U11" s="20"/>
      <c r="V11" s="20"/>
      <c r="W11" s="20"/>
      <c r="X11" s="20"/>
      <c r="Y11" s="20"/>
      <c r="Z11" s="20"/>
      <c r="AA11" s="20"/>
      <c r="AB11" s="20"/>
      <c r="AC11" s="20"/>
    </row>
    <row r="12">
      <c r="A12" s="1"/>
      <c r="B12" s="1"/>
      <c r="C12" s="1"/>
      <c r="D12" s="1"/>
      <c r="E12" s="11" t="s">
        <v>20</v>
      </c>
      <c r="F12" s="11">
        <v>130.0</v>
      </c>
      <c r="G12" s="13" t="s">
        <v>93</v>
      </c>
      <c r="H12" s="14" t="s">
        <v>94</v>
      </c>
      <c r="I12" s="16" t="s">
        <v>0</v>
      </c>
      <c r="J12" s="18" t="s">
        <v>95</v>
      </c>
      <c r="K12" s="18" t="s">
        <v>96</v>
      </c>
      <c r="L12" s="18" t="s">
        <v>70</v>
      </c>
      <c r="M12" s="18" t="s">
        <v>97</v>
      </c>
      <c r="N12" s="16" t="s">
        <v>84</v>
      </c>
      <c r="O12" s="18" t="s">
        <v>98</v>
      </c>
      <c r="P12" s="16" t="s">
        <v>1</v>
      </c>
      <c r="Q12" s="16" t="s">
        <v>70</v>
      </c>
      <c r="R12" s="16" t="s">
        <v>31</v>
      </c>
      <c r="S12" s="16" t="s">
        <v>32</v>
      </c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1"/>
      <c r="B13" s="1"/>
      <c r="C13" s="1"/>
      <c r="D13" s="1"/>
      <c r="E13" s="11" t="s">
        <v>20</v>
      </c>
      <c r="F13" s="11">
        <v>140.0</v>
      </c>
      <c r="G13" s="13" t="s">
        <v>99</v>
      </c>
      <c r="H13" s="14" t="s">
        <v>100</v>
      </c>
      <c r="I13" s="16" t="s">
        <v>0</v>
      </c>
      <c r="J13" s="18" t="s">
        <v>101</v>
      </c>
      <c r="K13" s="18" t="s">
        <v>102</v>
      </c>
      <c r="L13" s="18" t="s">
        <v>103</v>
      </c>
      <c r="M13" s="18" t="s">
        <v>104</v>
      </c>
      <c r="N13" s="16" t="s">
        <v>84</v>
      </c>
      <c r="O13" s="18" t="s">
        <v>105</v>
      </c>
      <c r="P13" s="16" t="s">
        <v>1</v>
      </c>
      <c r="Q13" s="16" t="s">
        <v>30</v>
      </c>
      <c r="R13" s="16" t="s">
        <v>31</v>
      </c>
      <c r="S13" s="16" t="s">
        <v>32</v>
      </c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1"/>
      <c r="B14" s="1"/>
      <c r="C14" s="1"/>
      <c r="D14" s="1"/>
      <c r="E14" s="11" t="s">
        <v>20</v>
      </c>
      <c r="F14" s="11">
        <v>150.0</v>
      </c>
      <c r="G14" s="13" t="s">
        <v>107</v>
      </c>
      <c r="H14" s="14" t="s">
        <v>108</v>
      </c>
      <c r="I14" s="16" t="s">
        <v>0</v>
      </c>
      <c r="J14" s="18" t="s">
        <v>109</v>
      </c>
      <c r="K14" s="18" t="s">
        <v>110</v>
      </c>
      <c r="L14" s="18" t="s">
        <v>111</v>
      </c>
      <c r="M14" s="18" t="s">
        <v>112</v>
      </c>
      <c r="N14" s="16" t="s">
        <v>84</v>
      </c>
      <c r="O14" s="18" t="s">
        <v>113</v>
      </c>
      <c r="P14" s="16" t="s">
        <v>1</v>
      </c>
      <c r="Q14" s="16" t="s">
        <v>30</v>
      </c>
      <c r="R14" s="16" t="s">
        <v>31</v>
      </c>
      <c r="S14" s="16" t="s">
        <v>32</v>
      </c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1"/>
      <c r="B15" s="1"/>
      <c r="C15" s="1"/>
      <c r="D15" s="1"/>
      <c r="E15" s="11" t="s">
        <v>20</v>
      </c>
      <c r="F15" s="11">
        <v>160.0</v>
      </c>
      <c r="G15" s="13" t="s">
        <v>114</v>
      </c>
      <c r="H15" s="14" t="s">
        <v>115</v>
      </c>
      <c r="I15" s="16" t="s">
        <v>0</v>
      </c>
      <c r="J15" s="18" t="s">
        <v>116</v>
      </c>
      <c r="K15" s="18" t="s">
        <v>117</v>
      </c>
      <c r="L15" s="18" t="s">
        <v>118</v>
      </c>
      <c r="M15" s="18" t="s">
        <v>119</v>
      </c>
      <c r="N15" s="16" t="s">
        <v>52</v>
      </c>
      <c r="O15" s="18" t="s">
        <v>120</v>
      </c>
      <c r="P15" s="16" t="s">
        <v>1</v>
      </c>
      <c r="Q15" s="16" t="s">
        <v>30</v>
      </c>
      <c r="R15" s="16" t="s">
        <v>31</v>
      </c>
      <c r="S15" s="16" t="s">
        <v>32</v>
      </c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1"/>
      <c r="B16" s="1"/>
      <c r="C16" s="1"/>
      <c r="D16" s="1"/>
      <c r="E16" s="11" t="s">
        <v>20</v>
      </c>
      <c r="F16" s="11">
        <v>170.0</v>
      </c>
      <c r="G16" s="13" t="s">
        <v>121</v>
      </c>
      <c r="H16" s="14" t="s">
        <v>122</v>
      </c>
      <c r="I16" s="16" t="s">
        <v>0</v>
      </c>
      <c r="J16" s="18" t="s">
        <v>123</v>
      </c>
      <c r="K16" s="18" t="s">
        <v>124</v>
      </c>
      <c r="L16" s="18" t="s">
        <v>125</v>
      </c>
      <c r="M16" s="18" t="s">
        <v>126</v>
      </c>
      <c r="N16" s="16" t="s">
        <v>52</v>
      </c>
      <c r="O16" s="18" t="s">
        <v>127</v>
      </c>
      <c r="P16" s="16" t="s">
        <v>1</v>
      </c>
      <c r="Q16" s="16" t="s">
        <v>30</v>
      </c>
      <c r="R16" s="16" t="s">
        <v>31</v>
      </c>
      <c r="S16" s="16" t="s">
        <v>32</v>
      </c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1"/>
      <c r="B17" s="1"/>
      <c r="C17" s="1"/>
      <c r="D17" s="1"/>
      <c r="E17" s="11" t="s">
        <v>20</v>
      </c>
      <c r="F17" s="11">
        <v>180.0</v>
      </c>
      <c r="G17" s="13" t="s">
        <v>128</v>
      </c>
      <c r="H17" s="14" t="s">
        <v>129</v>
      </c>
      <c r="I17" s="16" t="s">
        <v>0</v>
      </c>
      <c r="J17" s="18" t="s">
        <v>130</v>
      </c>
      <c r="K17" s="18" t="s">
        <v>102</v>
      </c>
      <c r="L17" s="18" t="s">
        <v>131</v>
      </c>
      <c r="M17" s="18" t="s">
        <v>132</v>
      </c>
      <c r="N17" s="16" t="s">
        <v>52</v>
      </c>
      <c r="O17" s="18" t="s">
        <v>133</v>
      </c>
      <c r="P17" s="16" t="s">
        <v>1</v>
      </c>
      <c r="Q17" s="16" t="s">
        <v>30</v>
      </c>
      <c r="R17" s="16" t="s">
        <v>31</v>
      </c>
      <c r="S17" s="16" t="s">
        <v>32</v>
      </c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1"/>
      <c r="B18" s="1"/>
      <c r="C18" s="1"/>
      <c r="D18" s="1"/>
      <c r="E18" s="11" t="s">
        <v>20</v>
      </c>
      <c r="F18" s="11">
        <v>190.0</v>
      </c>
      <c r="G18" s="13" t="s">
        <v>134</v>
      </c>
      <c r="H18" s="14" t="s">
        <v>135</v>
      </c>
      <c r="I18" s="16" t="s">
        <v>0</v>
      </c>
      <c r="J18" s="18" t="s">
        <v>136</v>
      </c>
      <c r="K18" s="18" t="s">
        <v>137</v>
      </c>
      <c r="L18" s="18" t="s">
        <v>138</v>
      </c>
      <c r="M18" s="18" t="s">
        <v>139</v>
      </c>
      <c r="N18" s="16" t="s">
        <v>140</v>
      </c>
      <c r="O18" s="18" t="s">
        <v>141</v>
      </c>
      <c r="P18" s="16" t="s">
        <v>1</v>
      </c>
      <c r="Q18" s="16" t="s">
        <v>30</v>
      </c>
      <c r="R18" s="16" t="s">
        <v>31</v>
      </c>
      <c r="S18" s="16" t="s">
        <v>32</v>
      </c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1"/>
      <c r="B19" s="1"/>
      <c r="C19" s="1"/>
      <c r="D19" s="1"/>
      <c r="E19" s="11" t="s">
        <v>20</v>
      </c>
      <c r="F19" s="11">
        <v>200.0</v>
      </c>
      <c r="G19" s="13" t="s">
        <v>142</v>
      </c>
      <c r="H19" s="14" t="s">
        <v>143</v>
      </c>
      <c r="I19" s="16" t="s">
        <v>0</v>
      </c>
      <c r="J19" s="18" t="s">
        <v>144</v>
      </c>
      <c r="K19" s="18" t="s">
        <v>145</v>
      </c>
      <c r="L19" s="18" t="s">
        <v>70</v>
      </c>
      <c r="M19" s="18" t="s">
        <v>146</v>
      </c>
      <c r="N19" s="16" t="s">
        <v>147</v>
      </c>
      <c r="O19" s="18" t="s">
        <v>148</v>
      </c>
      <c r="P19" s="16" t="s">
        <v>1</v>
      </c>
      <c r="Q19" s="16" t="s">
        <v>70</v>
      </c>
      <c r="R19" s="16" t="s">
        <v>31</v>
      </c>
      <c r="S19" s="16" t="s">
        <v>32</v>
      </c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1"/>
      <c r="B20" s="1"/>
      <c r="C20" s="1"/>
      <c r="D20" s="1"/>
      <c r="E20" s="11" t="s">
        <v>20</v>
      </c>
      <c r="F20" s="11">
        <v>210.0</v>
      </c>
      <c r="G20" s="13" t="s">
        <v>149</v>
      </c>
      <c r="H20" s="14" t="s">
        <v>150</v>
      </c>
      <c r="I20" s="16" t="s">
        <v>0</v>
      </c>
      <c r="J20" s="18" t="s">
        <v>151</v>
      </c>
      <c r="K20" s="18" t="s">
        <v>152</v>
      </c>
      <c r="L20" s="18" t="s">
        <v>153</v>
      </c>
      <c r="M20" s="18" t="s">
        <v>154</v>
      </c>
      <c r="N20" s="16" t="s">
        <v>52</v>
      </c>
      <c r="O20" s="18" t="s">
        <v>155</v>
      </c>
      <c r="P20" s="16" t="s">
        <v>1</v>
      </c>
      <c r="Q20" s="16" t="s">
        <v>30</v>
      </c>
      <c r="R20" s="16" t="s">
        <v>31</v>
      </c>
      <c r="S20" s="16" t="s">
        <v>32</v>
      </c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1"/>
      <c r="B21" s="1"/>
      <c r="C21" s="1"/>
      <c r="D21" s="1"/>
      <c r="E21" s="11" t="s">
        <v>20</v>
      </c>
      <c r="F21" s="11">
        <v>220.0</v>
      </c>
      <c r="G21" s="13" t="s">
        <v>156</v>
      </c>
      <c r="H21" s="14" t="s">
        <v>157</v>
      </c>
      <c r="I21" s="16" t="s">
        <v>0</v>
      </c>
      <c r="J21" s="18" t="s">
        <v>158</v>
      </c>
      <c r="K21" s="18" t="s">
        <v>159</v>
      </c>
      <c r="L21" s="18" t="s">
        <v>160</v>
      </c>
      <c r="M21" s="18" t="s">
        <v>161</v>
      </c>
      <c r="N21" s="16" t="s">
        <v>52</v>
      </c>
      <c r="O21" s="18" t="s">
        <v>162</v>
      </c>
      <c r="P21" s="16" t="s">
        <v>1</v>
      </c>
      <c r="Q21" s="16" t="s">
        <v>30</v>
      </c>
      <c r="R21" s="16" t="s">
        <v>31</v>
      </c>
      <c r="S21" s="16" t="s">
        <v>32</v>
      </c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1"/>
      <c r="B22" s="1"/>
      <c r="C22" s="1"/>
      <c r="D22" s="1"/>
      <c r="E22" s="11" t="s">
        <v>20</v>
      </c>
      <c r="F22" s="11">
        <v>230.0</v>
      </c>
      <c r="G22" s="13" t="s">
        <v>164</v>
      </c>
      <c r="H22" s="14" t="s">
        <v>165</v>
      </c>
      <c r="I22" s="16" t="s">
        <v>0</v>
      </c>
      <c r="J22" s="18" t="s">
        <v>166</v>
      </c>
      <c r="K22" s="18" t="s">
        <v>167</v>
      </c>
      <c r="L22" s="18" t="s">
        <v>70</v>
      </c>
      <c r="M22" s="18" t="s">
        <v>168</v>
      </c>
      <c r="N22" s="16" t="s">
        <v>52</v>
      </c>
      <c r="O22" s="18" t="s">
        <v>170</v>
      </c>
      <c r="P22" s="16" t="s">
        <v>1</v>
      </c>
      <c r="Q22" s="16" t="s">
        <v>70</v>
      </c>
      <c r="R22" s="16" t="s">
        <v>31</v>
      </c>
      <c r="S22" s="16" t="s">
        <v>32</v>
      </c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1"/>
      <c r="B23" s="1"/>
      <c r="C23" s="1"/>
      <c r="D23" s="1"/>
      <c r="E23" s="11" t="s">
        <v>20</v>
      </c>
      <c r="F23" s="11">
        <v>240.0</v>
      </c>
      <c r="G23" s="13" t="s">
        <v>175</v>
      </c>
      <c r="H23" s="14" t="s">
        <v>176</v>
      </c>
      <c r="I23" s="16" t="s">
        <v>0</v>
      </c>
      <c r="J23" s="18" t="s">
        <v>178</v>
      </c>
      <c r="K23" s="18" t="s">
        <v>145</v>
      </c>
      <c r="L23" s="18" t="s">
        <v>70</v>
      </c>
      <c r="M23" s="18" t="s">
        <v>180</v>
      </c>
      <c r="N23" s="16" t="s">
        <v>52</v>
      </c>
      <c r="O23" s="18" t="s">
        <v>181</v>
      </c>
      <c r="P23" s="16" t="s">
        <v>1</v>
      </c>
      <c r="Q23" s="16" t="s">
        <v>70</v>
      </c>
      <c r="R23" s="16" t="s">
        <v>31</v>
      </c>
      <c r="S23" s="16" t="s">
        <v>32</v>
      </c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1"/>
      <c r="B24" s="1"/>
      <c r="C24" s="1"/>
      <c r="D24" s="1"/>
      <c r="E24" s="11" t="s">
        <v>20</v>
      </c>
      <c r="F24" s="11">
        <v>250.0</v>
      </c>
      <c r="G24" s="13" t="s">
        <v>186</v>
      </c>
      <c r="H24" s="14" t="s">
        <v>188</v>
      </c>
      <c r="I24" s="16" t="s">
        <v>0</v>
      </c>
      <c r="J24" s="18" t="s">
        <v>189</v>
      </c>
      <c r="K24" s="18" t="s">
        <v>145</v>
      </c>
      <c r="L24" s="18" t="s">
        <v>70</v>
      </c>
      <c r="M24" s="18" t="s">
        <v>190</v>
      </c>
      <c r="N24" s="16" t="s">
        <v>191</v>
      </c>
      <c r="O24" s="18" t="s">
        <v>192</v>
      </c>
      <c r="P24" s="16" t="s">
        <v>1</v>
      </c>
      <c r="Q24" s="16" t="s">
        <v>70</v>
      </c>
      <c r="R24" s="16" t="s">
        <v>31</v>
      </c>
      <c r="S24" s="16" t="s">
        <v>32</v>
      </c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1"/>
      <c r="B25" s="1"/>
      <c r="C25" s="1"/>
      <c r="D25" s="1"/>
      <c r="E25" s="11" t="s">
        <v>20</v>
      </c>
      <c r="F25" s="11">
        <v>260.0</v>
      </c>
      <c r="G25" s="13" t="s">
        <v>193</v>
      </c>
      <c r="H25" s="14" t="s">
        <v>194</v>
      </c>
      <c r="I25" s="16" t="s">
        <v>0</v>
      </c>
      <c r="J25" s="18" t="s">
        <v>195</v>
      </c>
      <c r="K25" s="18" t="s">
        <v>196</v>
      </c>
      <c r="L25" s="18" t="s">
        <v>70</v>
      </c>
      <c r="M25" s="18" t="s">
        <v>197</v>
      </c>
      <c r="N25" s="16" t="s">
        <v>198</v>
      </c>
      <c r="O25" s="18" t="s">
        <v>199</v>
      </c>
      <c r="P25" s="16" t="s">
        <v>1</v>
      </c>
      <c r="Q25" s="16" t="s">
        <v>70</v>
      </c>
      <c r="R25" s="16" t="s">
        <v>31</v>
      </c>
      <c r="S25" s="16" t="s">
        <v>32</v>
      </c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1"/>
      <c r="B26" s="1"/>
      <c r="C26" s="1"/>
      <c r="D26" s="1"/>
      <c r="E26" s="11" t="s">
        <v>20</v>
      </c>
      <c r="F26" s="11">
        <v>270.0</v>
      </c>
      <c r="G26" s="13" t="s">
        <v>200</v>
      </c>
      <c r="H26" s="14" t="s">
        <v>201</v>
      </c>
      <c r="I26" s="16" t="s">
        <v>0</v>
      </c>
      <c r="J26" s="18" t="s">
        <v>202</v>
      </c>
      <c r="K26" s="18" t="s">
        <v>152</v>
      </c>
      <c r="L26" s="18" t="s">
        <v>70</v>
      </c>
      <c r="M26" s="18" t="s">
        <v>203</v>
      </c>
      <c r="N26" s="16" t="s">
        <v>204</v>
      </c>
      <c r="O26" s="18" t="s">
        <v>205</v>
      </c>
      <c r="P26" s="16" t="s">
        <v>1</v>
      </c>
      <c r="Q26" s="16" t="s">
        <v>70</v>
      </c>
      <c r="R26" s="16" t="s">
        <v>31</v>
      </c>
      <c r="S26" s="16" t="s">
        <v>32</v>
      </c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1"/>
      <c r="B27" s="1"/>
      <c r="C27" s="1"/>
      <c r="D27" s="1"/>
      <c r="E27" s="11" t="s">
        <v>20</v>
      </c>
      <c r="F27" s="11">
        <v>280.0</v>
      </c>
      <c r="G27" s="13" t="s">
        <v>206</v>
      </c>
      <c r="H27" s="14" t="s">
        <v>207</v>
      </c>
      <c r="I27" s="16" t="s">
        <v>0</v>
      </c>
      <c r="J27" s="18" t="s">
        <v>208</v>
      </c>
      <c r="K27" s="18" t="s">
        <v>196</v>
      </c>
      <c r="L27" s="18" t="s">
        <v>70</v>
      </c>
      <c r="M27" s="18" t="s">
        <v>209</v>
      </c>
      <c r="N27" s="16" t="s">
        <v>210</v>
      </c>
      <c r="O27" s="18" t="s">
        <v>211</v>
      </c>
      <c r="P27" s="16" t="s">
        <v>1</v>
      </c>
      <c r="Q27" s="16" t="s">
        <v>70</v>
      </c>
      <c r="R27" s="16" t="s">
        <v>31</v>
      </c>
      <c r="S27" s="16" t="s">
        <v>32</v>
      </c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1"/>
      <c r="B28" s="1"/>
      <c r="C28" s="1"/>
      <c r="D28" s="1"/>
      <c r="E28" s="11" t="s">
        <v>20</v>
      </c>
      <c r="F28" s="11">
        <v>290.0</v>
      </c>
      <c r="G28" s="13" t="s">
        <v>212</v>
      </c>
      <c r="H28" s="14" t="s">
        <v>213</v>
      </c>
      <c r="I28" s="16" t="s">
        <v>0</v>
      </c>
      <c r="J28" s="18" t="s">
        <v>214</v>
      </c>
      <c r="K28" s="18" t="s">
        <v>196</v>
      </c>
      <c r="L28" s="18" t="s">
        <v>70</v>
      </c>
      <c r="M28" s="18" t="s">
        <v>215</v>
      </c>
      <c r="N28" s="16" t="s">
        <v>210</v>
      </c>
      <c r="O28" s="18" t="s">
        <v>216</v>
      </c>
      <c r="P28" s="16" t="s">
        <v>1</v>
      </c>
      <c r="Q28" s="16" t="s">
        <v>70</v>
      </c>
      <c r="R28" s="16" t="s">
        <v>31</v>
      </c>
      <c r="S28" s="16" t="s">
        <v>32</v>
      </c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1"/>
      <c r="B29" s="1"/>
      <c r="C29" s="1"/>
      <c r="D29" s="1"/>
      <c r="E29" s="11" t="s">
        <v>20</v>
      </c>
      <c r="F29" s="11">
        <v>300.0</v>
      </c>
      <c r="G29" s="13" t="s">
        <v>217</v>
      </c>
      <c r="H29" s="14" t="s">
        <v>218</v>
      </c>
      <c r="I29" s="16" t="s">
        <v>0</v>
      </c>
      <c r="J29" s="18" t="s">
        <v>219</v>
      </c>
      <c r="K29" s="18" t="s">
        <v>196</v>
      </c>
      <c r="L29" s="18" t="s">
        <v>70</v>
      </c>
      <c r="M29" s="18" t="s">
        <v>220</v>
      </c>
      <c r="N29" s="16" t="s">
        <v>210</v>
      </c>
      <c r="O29" s="18" t="s">
        <v>221</v>
      </c>
      <c r="P29" s="16" t="s">
        <v>1</v>
      </c>
      <c r="Q29" s="16" t="s">
        <v>70</v>
      </c>
      <c r="R29" s="16" t="s">
        <v>31</v>
      </c>
      <c r="S29" s="16" t="s">
        <v>32</v>
      </c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1"/>
      <c r="B30" s="1"/>
      <c r="C30" s="1"/>
      <c r="D30" s="1"/>
      <c r="E30" s="11" t="s">
        <v>20</v>
      </c>
      <c r="F30" s="11">
        <v>310.0</v>
      </c>
      <c r="G30" s="13" t="s">
        <v>222</v>
      </c>
      <c r="H30" s="14" t="s">
        <v>223</v>
      </c>
      <c r="I30" s="16" t="s">
        <v>0</v>
      </c>
      <c r="J30" s="18" t="s">
        <v>224</v>
      </c>
      <c r="K30" s="18" t="s">
        <v>196</v>
      </c>
      <c r="L30" s="18" t="s">
        <v>225</v>
      </c>
      <c r="M30" s="18" t="s">
        <v>226</v>
      </c>
      <c r="N30" s="16" t="s">
        <v>210</v>
      </c>
      <c r="O30" s="18" t="s">
        <v>227</v>
      </c>
      <c r="P30" s="16" t="s">
        <v>1</v>
      </c>
      <c r="Q30" s="16" t="s">
        <v>30</v>
      </c>
      <c r="R30" s="16" t="s">
        <v>31</v>
      </c>
      <c r="S30" s="16" t="s">
        <v>32</v>
      </c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1"/>
      <c r="B31" s="1"/>
      <c r="C31" s="1"/>
      <c r="D31" s="1"/>
      <c r="E31" s="11" t="s">
        <v>20</v>
      </c>
      <c r="F31" s="11">
        <v>320.0</v>
      </c>
      <c r="G31" s="13" t="s">
        <v>228</v>
      </c>
      <c r="H31" s="14" t="s">
        <v>229</v>
      </c>
      <c r="I31" s="16" t="s">
        <v>0</v>
      </c>
      <c r="J31" s="18" t="s">
        <v>230</v>
      </c>
      <c r="K31" s="18" t="s">
        <v>231</v>
      </c>
      <c r="L31" s="18" t="s">
        <v>70</v>
      </c>
      <c r="M31" s="18" t="s">
        <v>232</v>
      </c>
      <c r="N31" s="16" t="s">
        <v>233</v>
      </c>
      <c r="O31" s="18" t="s">
        <v>234</v>
      </c>
      <c r="P31" s="16" t="s">
        <v>1</v>
      </c>
      <c r="Q31" s="16" t="s">
        <v>70</v>
      </c>
      <c r="R31" s="16" t="s">
        <v>31</v>
      </c>
      <c r="S31" s="16" t="s">
        <v>32</v>
      </c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1"/>
      <c r="B32" s="1"/>
      <c r="C32" s="1"/>
      <c r="D32" s="1"/>
      <c r="E32" s="11" t="s">
        <v>20</v>
      </c>
      <c r="F32" s="11">
        <v>330.0</v>
      </c>
      <c r="G32" s="13" t="s">
        <v>235</v>
      </c>
      <c r="H32" s="14" t="s">
        <v>236</v>
      </c>
      <c r="I32" s="16" t="s">
        <v>0</v>
      </c>
      <c r="J32" s="18" t="s">
        <v>237</v>
      </c>
      <c r="K32" s="18" t="s">
        <v>196</v>
      </c>
      <c r="L32" s="18" t="s">
        <v>70</v>
      </c>
      <c r="M32" s="18" t="s">
        <v>238</v>
      </c>
      <c r="N32" s="16" t="s">
        <v>84</v>
      </c>
      <c r="O32" s="18" t="s">
        <v>239</v>
      </c>
      <c r="P32" s="16" t="s">
        <v>1</v>
      </c>
      <c r="Q32" s="16" t="s">
        <v>70</v>
      </c>
      <c r="R32" s="16" t="s">
        <v>31</v>
      </c>
      <c r="S32" s="16" t="s">
        <v>32</v>
      </c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1"/>
      <c r="B33" s="1"/>
      <c r="C33" s="1"/>
      <c r="D33" s="1"/>
      <c r="E33" s="11" t="s">
        <v>20</v>
      </c>
      <c r="F33" s="11">
        <v>340.0</v>
      </c>
      <c r="G33" s="13" t="s">
        <v>240</v>
      </c>
      <c r="H33" s="14" t="s">
        <v>241</v>
      </c>
      <c r="I33" s="16" t="s">
        <v>0</v>
      </c>
      <c r="J33" s="18" t="s">
        <v>242</v>
      </c>
      <c r="K33" s="18" t="s">
        <v>243</v>
      </c>
      <c r="L33" s="18" t="s">
        <v>70</v>
      </c>
      <c r="M33" s="25" t="s">
        <v>244</v>
      </c>
      <c r="N33" s="16" t="s">
        <v>204</v>
      </c>
      <c r="O33" s="18" t="s">
        <v>245</v>
      </c>
      <c r="P33" s="16" t="s">
        <v>1</v>
      </c>
      <c r="Q33" s="16" t="s">
        <v>70</v>
      </c>
      <c r="R33" s="16" t="s">
        <v>31</v>
      </c>
      <c r="S33" s="16" t="s">
        <v>32</v>
      </c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1"/>
      <c r="B34" s="1"/>
      <c r="C34" s="1"/>
      <c r="D34" s="1"/>
      <c r="E34" s="11" t="s">
        <v>20</v>
      </c>
      <c r="F34" s="11">
        <v>350.0</v>
      </c>
      <c r="G34" s="13" t="s">
        <v>246</v>
      </c>
      <c r="H34" s="14" t="s">
        <v>247</v>
      </c>
      <c r="I34" s="16" t="s">
        <v>0</v>
      </c>
      <c r="J34" s="18" t="s">
        <v>248</v>
      </c>
      <c r="K34" s="18" t="s">
        <v>36</v>
      </c>
      <c r="L34" s="18" t="s">
        <v>70</v>
      </c>
      <c r="M34" s="25" t="s">
        <v>249</v>
      </c>
      <c r="N34" s="16" t="s">
        <v>28</v>
      </c>
      <c r="O34" s="18" t="s">
        <v>250</v>
      </c>
      <c r="P34" s="16" t="s">
        <v>1</v>
      </c>
      <c r="Q34" s="16" t="s">
        <v>70</v>
      </c>
      <c r="R34" s="16" t="s">
        <v>31</v>
      </c>
      <c r="S34" s="16" t="s">
        <v>32</v>
      </c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1"/>
      <c r="B35" s="1"/>
      <c r="C35" s="1"/>
      <c r="D35" s="1"/>
      <c r="E35" s="11" t="s">
        <v>20</v>
      </c>
      <c r="F35" s="11">
        <v>360.0</v>
      </c>
      <c r="G35" s="13" t="s">
        <v>251</v>
      </c>
      <c r="H35" s="14" t="s">
        <v>252</v>
      </c>
      <c r="I35" s="16" t="s">
        <v>0</v>
      </c>
      <c r="J35" s="18" t="s">
        <v>253</v>
      </c>
      <c r="K35" s="18" t="s">
        <v>152</v>
      </c>
      <c r="L35" s="18" t="s">
        <v>70</v>
      </c>
      <c r="M35" s="18" t="s">
        <v>254</v>
      </c>
      <c r="N35" s="16" t="s">
        <v>204</v>
      </c>
      <c r="O35" s="18" t="s">
        <v>255</v>
      </c>
      <c r="P35" s="16" t="s">
        <v>1</v>
      </c>
      <c r="Q35" s="16" t="s">
        <v>70</v>
      </c>
      <c r="R35" s="16" t="s">
        <v>31</v>
      </c>
      <c r="S35" s="16" t="s">
        <v>32</v>
      </c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1"/>
      <c r="B36" s="1"/>
      <c r="C36" s="1"/>
      <c r="D36" s="1"/>
      <c r="E36" s="11" t="s">
        <v>20</v>
      </c>
      <c r="F36" s="11">
        <v>370.0</v>
      </c>
      <c r="G36" s="13" t="s">
        <v>256</v>
      </c>
      <c r="H36" s="14" t="s">
        <v>257</v>
      </c>
      <c r="I36" s="16" t="s">
        <v>187</v>
      </c>
      <c r="J36" s="18" t="s">
        <v>258</v>
      </c>
      <c r="K36" s="18" t="s">
        <v>259</v>
      </c>
      <c r="L36" s="18" t="s">
        <v>70</v>
      </c>
      <c r="M36" s="18" t="s">
        <v>260</v>
      </c>
      <c r="N36" s="16" t="s">
        <v>84</v>
      </c>
      <c r="O36" s="18" t="s">
        <v>261</v>
      </c>
      <c r="P36" s="16" t="s">
        <v>1</v>
      </c>
      <c r="Q36" s="16" t="s">
        <v>70</v>
      </c>
      <c r="R36" s="16" t="s">
        <v>172</v>
      </c>
      <c r="S36" s="16" t="s">
        <v>32</v>
      </c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1"/>
      <c r="B37" s="1"/>
      <c r="C37" s="1"/>
      <c r="D37" s="1"/>
      <c r="E37" s="11" t="s">
        <v>20</v>
      </c>
      <c r="F37" s="11">
        <v>380.0</v>
      </c>
      <c r="G37" s="13" t="s">
        <v>262</v>
      </c>
      <c r="H37" s="14" t="s">
        <v>263</v>
      </c>
      <c r="I37" s="16" t="s">
        <v>184</v>
      </c>
      <c r="J37" s="18" t="s">
        <v>264</v>
      </c>
      <c r="K37" s="18" t="s">
        <v>265</v>
      </c>
      <c r="L37" s="18" t="s">
        <v>70</v>
      </c>
      <c r="M37" s="18" t="s">
        <v>266</v>
      </c>
      <c r="N37" s="16" t="s">
        <v>267</v>
      </c>
      <c r="O37" s="18" t="s">
        <v>268</v>
      </c>
      <c r="P37" s="16" t="s">
        <v>1</v>
      </c>
      <c r="Q37" s="16" t="s">
        <v>70</v>
      </c>
      <c r="R37" s="16" t="s">
        <v>172</v>
      </c>
      <c r="S37" s="16" t="s">
        <v>32</v>
      </c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1"/>
      <c r="B38" s="1"/>
      <c r="C38" s="1"/>
      <c r="D38" s="1"/>
      <c r="E38" s="11" t="s">
        <v>20</v>
      </c>
      <c r="F38" s="11">
        <v>390.0</v>
      </c>
      <c r="G38" s="13" t="s">
        <v>269</v>
      </c>
      <c r="H38" s="14" t="s">
        <v>270</v>
      </c>
      <c r="I38" s="16" t="s">
        <v>185</v>
      </c>
      <c r="J38" s="18" t="s">
        <v>271</v>
      </c>
      <c r="K38" s="18" t="s">
        <v>259</v>
      </c>
      <c r="L38" s="18" t="s">
        <v>70</v>
      </c>
      <c r="M38" s="18" t="s">
        <v>272</v>
      </c>
      <c r="N38" s="16" t="s">
        <v>84</v>
      </c>
      <c r="O38" s="18" t="s">
        <v>273</v>
      </c>
      <c r="P38" s="16" t="s">
        <v>1</v>
      </c>
      <c r="Q38" s="16" t="s">
        <v>70</v>
      </c>
      <c r="R38" s="16" t="s">
        <v>31</v>
      </c>
      <c r="S38" s="16" t="s">
        <v>32</v>
      </c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1"/>
      <c r="B39" s="1"/>
      <c r="C39" s="1"/>
      <c r="D39" s="1"/>
      <c r="E39" s="11" t="s">
        <v>20</v>
      </c>
      <c r="F39" s="11">
        <v>400.0</v>
      </c>
      <c r="G39" s="13" t="s">
        <v>274</v>
      </c>
      <c r="H39" s="14" t="s">
        <v>275</v>
      </c>
      <c r="I39" s="16" t="s">
        <v>182</v>
      </c>
      <c r="J39" s="18" t="s">
        <v>276</v>
      </c>
      <c r="K39" s="18" t="s">
        <v>277</v>
      </c>
      <c r="L39" s="18" t="s">
        <v>278</v>
      </c>
      <c r="M39" s="18" t="s">
        <v>279</v>
      </c>
      <c r="N39" s="16" t="s">
        <v>52</v>
      </c>
      <c r="O39" s="18" t="s">
        <v>280</v>
      </c>
      <c r="P39" s="16" t="s">
        <v>5</v>
      </c>
      <c r="Q39" s="16" t="s">
        <v>30</v>
      </c>
      <c r="R39" s="16" t="s">
        <v>31</v>
      </c>
      <c r="S39" s="16" t="s">
        <v>32</v>
      </c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1"/>
      <c r="B40" s="1"/>
      <c r="C40" s="1"/>
      <c r="D40" s="1"/>
      <c r="E40" s="11" t="s">
        <v>20</v>
      </c>
      <c r="F40" s="11">
        <v>410.0</v>
      </c>
      <c r="G40" s="13" t="s">
        <v>281</v>
      </c>
      <c r="H40" s="14" t="s">
        <v>282</v>
      </c>
      <c r="I40" s="16" t="s">
        <v>182</v>
      </c>
      <c r="J40" s="18" t="s">
        <v>283</v>
      </c>
      <c r="K40" s="18" t="s">
        <v>284</v>
      </c>
      <c r="L40" s="18" t="s">
        <v>285</v>
      </c>
      <c r="M40" s="18" t="s">
        <v>286</v>
      </c>
      <c r="N40" s="16" t="s">
        <v>84</v>
      </c>
      <c r="O40" s="18" t="s">
        <v>287</v>
      </c>
      <c r="P40" s="16" t="s">
        <v>5</v>
      </c>
      <c r="Q40" s="16" t="s">
        <v>30</v>
      </c>
      <c r="R40" s="16" t="s">
        <v>31</v>
      </c>
      <c r="S40" s="16" t="s">
        <v>32</v>
      </c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1"/>
      <c r="B41" s="1"/>
      <c r="C41" s="1"/>
      <c r="D41" s="1"/>
      <c r="E41" s="11" t="s">
        <v>20</v>
      </c>
      <c r="F41" s="11">
        <v>420.0</v>
      </c>
      <c r="G41" s="13" t="s">
        <v>288</v>
      </c>
      <c r="H41" s="14" t="s">
        <v>289</v>
      </c>
      <c r="I41" s="16" t="s">
        <v>177</v>
      </c>
      <c r="J41" s="18" t="s">
        <v>290</v>
      </c>
      <c r="K41" s="18" t="s">
        <v>291</v>
      </c>
      <c r="L41" s="18" t="s">
        <v>292</v>
      </c>
      <c r="M41" s="18" t="s">
        <v>293</v>
      </c>
      <c r="N41" s="16" t="s">
        <v>84</v>
      </c>
      <c r="O41" s="18" t="s">
        <v>294</v>
      </c>
      <c r="P41" s="16" t="s">
        <v>3</v>
      </c>
      <c r="Q41" s="16" t="s">
        <v>30</v>
      </c>
      <c r="R41" s="16" t="s">
        <v>31</v>
      </c>
      <c r="S41" s="16" t="s">
        <v>32</v>
      </c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1"/>
      <c r="B42" s="1"/>
      <c r="C42" s="1"/>
      <c r="D42" s="1"/>
      <c r="E42" s="11" t="s">
        <v>20</v>
      </c>
      <c r="F42" s="11">
        <v>430.0</v>
      </c>
      <c r="G42" s="13" t="s">
        <v>295</v>
      </c>
      <c r="H42" s="14" t="s">
        <v>296</v>
      </c>
      <c r="I42" s="16" t="s">
        <v>177</v>
      </c>
      <c r="J42" s="18" t="s">
        <v>297</v>
      </c>
      <c r="K42" s="18" t="s">
        <v>298</v>
      </c>
      <c r="L42" s="18" t="s">
        <v>299</v>
      </c>
      <c r="M42" s="18" t="s">
        <v>300</v>
      </c>
      <c r="N42" s="16" t="s">
        <v>52</v>
      </c>
      <c r="O42" s="18" t="s">
        <v>301</v>
      </c>
      <c r="P42" s="16" t="s">
        <v>3</v>
      </c>
      <c r="Q42" s="16" t="s">
        <v>30</v>
      </c>
      <c r="R42" s="16" t="s">
        <v>31</v>
      </c>
      <c r="S42" s="16" t="s">
        <v>32</v>
      </c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1"/>
      <c r="B43" s="1"/>
      <c r="C43" s="1"/>
      <c r="D43" s="1"/>
      <c r="E43" s="11" t="s">
        <v>20</v>
      </c>
      <c r="F43" s="11">
        <v>440.0</v>
      </c>
      <c r="G43" s="13" t="s">
        <v>302</v>
      </c>
      <c r="H43" s="14" t="s">
        <v>303</v>
      </c>
      <c r="I43" s="16" t="s">
        <v>173</v>
      </c>
      <c r="J43" s="18" t="s">
        <v>304</v>
      </c>
      <c r="K43" s="18" t="s">
        <v>152</v>
      </c>
      <c r="L43" s="18" t="s">
        <v>305</v>
      </c>
      <c r="M43" s="18" t="s">
        <v>306</v>
      </c>
      <c r="N43" s="16" t="s">
        <v>52</v>
      </c>
      <c r="O43" s="18" t="s">
        <v>307</v>
      </c>
      <c r="P43" s="16" t="s">
        <v>1</v>
      </c>
      <c r="Q43" s="16" t="s">
        <v>30</v>
      </c>
      <c r="R43" s="16" t="s">
        <v>31</v>
      </c>
      <c r="S43" s="16" t="s">
        <v>32</v>
      </c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1"/>
      <c r="B44" s="1"/>
      <c r="C44" s="1"/>
      <c r="D44" s="1"/>
      <c r="E44" s="11" t="s">
        <v>20</v>
      </c>
      <c r="F44" s="11">
        <v>450.0</v>
      </c>
      <c r="G44" s="13" t="s">
        <v>308</v>
      </c>
      <c r="H44" s="14" t="s">
        <v>309</v>
      </c>
      <c r="I44" s="16" t="s">
        <v>173</v>
      </c>
      <c r="J44" s="18" t="s">
        <v>310</v>
      </c>
      <c r="K44" s="18" t="s">
        <v>124</v>
      </c>
      <c r="L44" s="18" t="s">
        <v>311</v>
      </c>
      <c r="M44" s="18" t="s">
        <v>312</v>
      </c>
      <c r="N44" s="16" t="s">
        <v>52</v>
      </c>
      <c r="O44" s="18" t="s">
        <v>313</v>
      </c>
      <c r="P44" s="16" t="s">
        <v>1</v>
      </c>
      <c r="Q44" s="16" t="s">
        <v>30</v>
      </c>
      <c r="R44" s="16" t="s">
        <v>31</v>
      </c>
      <c r="S44" s="16" t="s">
        <v>32</v>
      </c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1"/>
      <c r="B45" s="1"/>
      <c r="C45" s="1"/>
      <c r="D45" s="1"/>
      <c r="E45" s="11" t="s">
        <v>20</v>
      </c>
      <c r="F45" s="11">
        <v>460.0</v>
      </c>
      <c r="G45" s="13" t="s">
        <v>314</v>
      </c>
      <c r="H45" s="14" t="s">
        <v>315</v>
      </c>
      <c r="I45" s="16" t="s">
        <v>173</v>
      </c>
      <c r="J45" s="18" t="s">
        <v>316</v>
      </c>
      <c r="K45" s="18" t="s">
        <v>196</v>
      </c>
      <c r="L45" s="18" t="s">
        <v>317</v>
      </c>
      <c r="M45" s="18" t="s">
        <v>197</v>
      </c>
      <c r="N45" s="16" t="s">
        <v>198</v>
      </c>
      <c r="O45" s="18" t="s">
        <v>318</v>
      </c>
      <c r="P45" s="16" t="s">
        <v>1</v>
      </c>
      <c r="Q45" s="16" t="s">
        <v>169</v>
      </c>
      <c r="R45" s="16" t="s">
        <v>31</v>
      </c>
      <c r="S45" s="16" t="s">
        <v>32</v>
      </c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1"/>
      <c r="B46" s="1"/>
      <c r="C46" s="1"/>
      <c r="D46" s="1"/>
      <c r="E46" s="11" t="s">
        <v>20</v>
      </c>
      <c r="F46" s="11">
        <v>470.0</v>
      </c>
      <c r="G46" s="13" t="s">
        <v>319</v>
      </c>
      <c r="H46" s="14" t="s">
        <v>320</v>
      </c>
      <c r="I46" s="16" t="s">
        <v>177</v>
      </c>
      <c r="J46" s="18" t="s">
        <v>321</v>
      </c>
      <c r="K46" s="18" t="s">
        <v>322</v>
      </c>
      <c r="L46" s="26" t="s">
        <v>323</v>
      </c>
      <c r="M46" s="18" t="s">
        <v>324</v>
      </c>
      <c r="N46" s="16" t="s">
        <v>325</v>
      </c>
      <c r="O46" s="18" t="s">
        <v>326</v>
      </c>
      <c r="P46" s="16" t="s">
        <v>3</v>
      </c>
      <c r="Q46" s="16" t="s">
        <v>169</v>
      </c>
      <c r="R46" s="16" t="s">
        <v>31</v>
      </c>
      <c r="S46" s="16" t="s">
        <v>32</v>
      </c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1"/>
      <c r="B47" s="1"/>
      <c r="C47" s="1"/>
      <c r="D47" s="1"/>
      <c r="E47" s="11" t="s">
        <v>20</v>
      </c>
      <c r="F47" s="11">
        <v>480.0</v>
      </c>
      <c r="G47" s="13" t="s">
        <v>327</v>
      </c>
      <c r="H47" s="27" t="s">
        <v>328</v>
      </c>
      <c r="I47" s="27" t="s">
        <v>185</v>
      </c>
      <c r="J47" s="27" t="s">
        <v>329</v>
      </c>
      <c r="K47" s="27" t="s">
        <v>330</v>
      </c>
      <c r="L47" s="27" t="s">
        <v>331</v>
      </c>
      <c r="M47" s="28" t="s">
        <v>332</v>
      </c>
      <c r="N47" s="27" t="s">
        <v>333</v>
      </c>
      <c r="O47" s="27" t="s">
        <v>334</v>
      </c>
      <c r="P47" s="27" t="s">
        <v>1</v>
      </c>
      <c r="Q47" s="27" t="s">
        <v>30</v>
      </c>
      <c r="R47" s="27" t="s">
        <v>31</v>
      </c>
      <c r="S47" s="29" t="s">
        <v>32</v>
      </c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1"/>
      <c r="B48" s="1"/>
      <c r="C48" s="1"/>
      <c r="D48" s="1"/>
      <c r="E48" s="11" t="s">
        <v>20</v>
      </c>
      <c r="F48" s="11">
        <v>490.0</v>
      </c>
      <c r="G48" s="30" t="s">
        <v>335</v>
      </c>
      <c r="H48" s="31" t="s">
        <v>336</v>
      </c>
      <c r="I48" s="32" t="s">
        <v>185</v>
      </c>
      <c r="J48" s="31" t="s">
        <v>337</v>
      </c>
      <c r="K48" s="31" t="s">
        <v>338</v>
      </c>
      <c r="L48" s="31" t="s">
        <v>339</v>
      </c>
      <c r="M48" s="33" t="s">
        <v>340</v>
      </c>
      <c r="N48" s="32" t="s">
        <v>28</v>
      </c>
      <c r="O48" s="32" t="s">
        <v>341</v>
      </c>
      <c r="P48" s="32" t="s">
        <v>1</v>
      </c>
      <c r="Q48" s="32" t="s">
        <v>30</v>
      </c>
      <c r="R48" s="32" t="s">
        <v>31</v>
      </c>
      <c r="S48" s="34" t="s">
        <v>32</v>
      </c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1"/>
      <c r="B49" s="1"/>
      <c r="C49" s="1"/>
      <c r="D49" s="1"/>
      <c r="E49" s="11" t="s">
        <v>20</v>
      </c>
      <c r="F49" s="11">
        <v>500.0</v>
      </c>
      <c r="G49" s="30" t="s">
        <v>342</v>
      </c>
      <c r="H49" s="31" t="s">
        <v>343</v>
      </c>
      <c r="I49" s="32" t="s">
        <v>187</v>
      </c>
      <c r="J49" s="31" t="s">
        <v>344</v>
      </c>
      <c r="K49" s="31" t="s">
        <v>345</v>
      </c>
      <c r="L49" s="35" t="s">
        <v>346</v>
      </c>
      <c r="M49" s="33" t="s">
        <v>347</v>
      </c>
      <c r="N49" s="32" t="s">
        <v>52</v>
      </c>
      <c r="O49" s="32" t="s">
        <v>348</v>
      </c>
      <c r="P49" s="32" t="s">
        <v>1</v>
      </c>
      <c r="Q49" s="32" t="s">
        <v>169</v>
      </c>
      <c r="R49" s="32" t="s">
        <v>31</v>
      </c>
      <c r="S49" s="34" t="s">
        <v>32</v>
      </c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1"/>
      <c r="B50" s="1"/>
      <c r="C50" s="1"/>
      <c r="D50" s="1"/>
      <c r="E50" s="11" t="s">
        <v>20</v>
      </c>
      <c r="F50" s="11">
        <v>510.0</v>
      </c>
      <c r="G50" s="30" t="s">
        <v>349</v>
      </c>
      <c r="H50" s="31" t="s">
        <v>350</v>
      </c>
      <c r="I50" s="32" t="s">
        <v>185</v>
      </c>
      <c r="J50" s="31" t="s">
        <v>351</v>
      </c>
      <c r="K50" s="31" t="s">
        <v>352</v>
      </c>
      <c r="L50" s="31" t="s">
        <v>70</v>
      </c>
      <c r="M50" s="33" t="s">
        <v>353</v>
      </c>
      <c r="N50" s="32" t="s">
        <v>52</v>
      </c>
      <c r="O50" s="32" t="s">
        <v>354</v>
      </c>
      <c r="P50" s="32" t="s">
        <v>1</v>
      </c>
      <c r="Q50" s="32" t="s">
        <v>70</v>
      </c>
      <c r="R50" s="32" t="s">
        <v>31</v>
      </c>
      <c r="S50" s="34" t="s">
        <v>32</v>
      </c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1"/>
      <c r="B51" s="1"/>
      <c r="C51" s="1"/>
      <c r="D51" s="1"/>
      <c r="E51" s="11" t="s">
        <v>20</v>
      </c>
      <c r="F51" s="11">
        <v>520.0</v>
      </c>
      <c r="G51" s="30" t="s">
        <v>355</v>
      </c>
      <c r="H51" s="31" t="s">
        <v>356</v>
      </c>
      <c r="I51" s="32" t="s">
        <v>185</v>
      </c>
      <c r="J51" s="31" t="s">
        <v>357</v>
      </c>
      <c r="K51" s="31" t="s">
        <v>358</v>
      </c>
      <c r="L51" s="31" t="s">
        <v>70</v>
      </c>
      <c r="M51" s="33" t="s">
        <v>359</v>
      </c>
      <c r="N51" s="32" t="s">
        <v>52</v>
      </c>
      <c r="O51" s="32" t="s">
        <v>360</v>
      </c>
      <c r="P51" s="32" t="s">
        <v>1</v>
      </c>
      <c r="Q51" s="32" t="s">
        <v>70</v>
      </c>
      <c r="R51" s="32" t="s">
        <v>31</v>
      </c>
      <c r="S51" s="34" t="s">
        <v>32</v>
      </c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1"/>
      <c r="B52" s="1"/>
      <c r="C52" s="1"/>
      <c r="D52" s="1"/>
      <c r="E52" s="11" t="s">
        <v>20</v>
      </c>
      <c r="F52" s="11">
        <v>530.0</v>
      </c>
      <c r="G52" s="30" t="s">
        <v>361</v>
      </c>
      <c r="H52" s="31" t="s">
        <v>362</v>
      </c>
      <c r="I52" s="32" t="s">
        <v>185</v>
      </c>
      <c r="J52" s="31" t="s">
        <v>363</v>
      </c>
      <c r="K52" s="31" t="s">
        <v>364</v>
      </c>
      <c r="L52" s="31" t="s">
        <v>70</v>
      </c>
      <c r="M52" s="33" t="s">
        <v>365</v>
      </c>
      <c r="N52" s="32" t="s">
        <v>52</v>
      </c>
      <c r="O52" s="32" t="s">
        <v>366</v>
      </c>
      <c r="P52" s="32" t="s">
        <v>1</v>
      </c>
      <c r="Q52" s="32" t="s">
        <v>70</v>
      </c>
      <c r="R52" s="32" t="s">
        <v>31</v>
      </c>
      <c r="S52" s="34" t="s">
        <v>32</v>
      </c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1"/>
      <c r="B53" s="1"/>
      <c r="C53" s="1"/>
      <c r="D53" s="1"/>
      <c r="E53" s="11" t="s">
        <v>20</v>
      </c>
      <c r="F53" s="11">
        <v>540.0</v>
      </c>
      <c r="G53" s="30" t="s">
        <v>367</v>
      </c>
      <c r="H53" s="31" t="s">
        <v>368</v>
      </c>
      <c r="I53" s="32" t="s">
        <v>185</v>
      </c>
      <c r="J53" s="31" t="s">
        <v>369</v>
      </c>
      <c r="K53" s="31" t="s">
        <v>370</v>
      </c>
      <c r="L53" s="31" t="s">
        <v>70</v>
      </c>
      <c r="M53" s="33" t="s">
        <v>371</v>
      </c>
      <c r="N53" s="32" t="s">
        <v>52</v>
      </c>
      <c r="O53" s="32" t="s">
        <v>372</v>
      </c>
      <c r="P53" s="32" t="s">
        <v>1</v>
      </c>
      <c r="Q53" s="32" t="s">
        <v>70</v>
      </c>
      <c r="R53" s="32" t="s">
        <v>31</v>
      </c>
      <c r="S53" s="34" t="s">
        <v>32</v>
      </c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44.25" customHeight="1">
      <c r="A54" s="1"/>
      <c r="B54" s="1"/>
      <c r="C54" s="1"/>
      <c r="D54" s="1"/>
      <c r="E54" s="11" t="s">
        <v>20</v>
      </c>
      <c r="F54" s="11">
        <v>550.0</v>
      </c>
      <c r="G54" s="30" t="s">
        <v>373</v>
      </c>
      <c r="H54" s="31" t="s">
        <v>374</v>
      </c>
      <c r="I54" s="32" t="s">
        <v>187</v>
      </c>
      <c r="J54" s="31" t="s">
        <v>375</v>
      </c>
      <c r="K54" s="31" t="s">
        <v>376</v>
      </c>
      <c r="L54" s="31" t="s">
        <v>70</v>
      </c>
      <c r="M54" s="33" t="s">
        <v>377</v>
      </c>
      <c r="N54" s="32" t="s">
        <v>52</v>
      </c>
      <c r="O54" s="32" t="s">
        <v>378</v>
      </c>
      <c r="P54" s="32" t="s">
        <v>1</v>
      </c>
      <c r="Q54" s="32" t="s">
        <v>70</v>
      </c>
      <c r="R54" s="32" t="s">
        <v>31</v>
      </c>
      <c r="S54" s="34" t="s">
        <v>32</v>
      </c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1"/>
      <c r="B55" s="1"/>
      <c r="C55" s="1"/>
      <c r="D55" s="1"/>
      <c r="E55" s="11" t="s">
        <v>20</v>
      </c>
      <c r="F55" s="11">
        <v>560.0</v>
      </c>
      <c r="G55" s="30" t="s">
        <v>379</v>
      </c>
      <c r="H55" s="31" t="s">
        <v>380</v>
      </c>
      <c r="I55" s="32" t="s">
        <v>185</v>
      </c>
      <c r="J55" s="31" t="s">
        <v>381</v>
      </c>
      <c r="K55" s="31" t="s">
        <v>382</v>
      </c>
      <c r="L55" s="31" t="s">
        <v>70</v>
      </c>
      <c r="M55" s="33" t="s">
        <v>383</v>
      </c>
      <c r="N55" s="32" t="s">
        <v>233</v>
      </c>
      <c r="O55" s="32" t="s">
        <v>384</v>
      </c>
      <c r="P55" s="32" t="s">
        <v>1</v>
      </c>
      <c r="Q55" s="32" t="s">
        <v>70</v>
      </c>
      <c r="R55" s="32" t="s">
        <v>31</v>
      </c>
      <c r="S55" s="34" t="s">
        <v>32</v>
      </c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1"/>
      <c r="B56" s="1"/>
      <c r="C56" s="1"/>
      <c r="D56" s="1"/>
      <c r="E56" s="11" t="s">
        <v>20</v>
      </c>
      <c r="F56" s="11">
        <v>570.0</v>
      </c>
      <c r="G56" s="30" t="s">
        <v>385</v>
      </c>
      <c r="H56" s="31" t="s">
        <v>386</v>
      </c>
      <c r="I56" s="32" t="s">
        <v>187</v>
      </c>
      <c r="J56" s="31" t="s">
        <v>387</v>
      </c>
      <c r="K56" s="31" t="s">
        <v>388</v>
      </c>
      <c r="L56" s="31" t="s">
        <v>70</v>
      </c>
      <c r="M56" s="33" t="s">
        <v>389</v>
      </c>
      <c r="N56" s="32" t="s">
        <v>140</v>
      </c>
      <c r="O56" s="32" t="s">
        <v>390</v>
      </c>
      <c r="P56" s="32" t="s">
        <v>1</v>
      </c>
      <c r="Q56" s="32" t="s">
        <v>70</v>
      </c>
      <c r="R56" s="32" t="s">
        <v>31</v>
      </c>
      <c r="S56" s="34" t="s">
        <v>32</v>
      </c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1"/>
      <c r="B57" s="1"/>
      <c r="C57" s="1"/>
      <c r="D57" s="1"/>
      <c r="E57" s="11" t="s">
        <v>20</v>
      </c>
      <c r="F57" s="11">
        <v>580.0</v>
      </c>
      <c r="G57" s="30" t="s">
        <v>391</v>
      </c>
      <c r="H57" s="31" t="s">
        <v>392</v>
      </c>
      <c r="I57" s="32" t="s">
        <v>185</v>
      </c>
      <c r="J57" s="31" t="s">
        <v>393</v>
      </c>
      <c r="K57" s="31" t="s">
        <v>259</v>
      </c>
      <c r="L57" s="31" t="s">
        <v>70</v>
      </c>
      <c r="M57" s="33" t="s">
        <v>394</v>
      </c>
      <c r="N57" s="32" t="s">
        <v>84</v>
      </c>
      <c r="O57" s="32" t="s">
        <v>395</v>
      </c>
      <c r="P57" s="32" t="s">
        <v>1</v>
      </c>
      <c r="Q57" s="32" t="s">
        <v>70</v>
      </c>
      <c r="R57" s="32" t="s">
        <v>31</v>
      </c>
      <c r="S57" s="34" t="s">
        <v>32</v>
      </c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1"/>
      <c r="B58" s="1"/>
      <c r="C58" s="1"/>
      <c r="D58" s="1"/>
      <c r="E58" s="11" t="s">
        <v>20</v>
      </c>
      <c r="F58" s="11">
        <v>590.0</v>
      </c>
      <c r="G58" s="30" t="s">
        <v>396</v>
      </c>
      <c r="H58" s="31" t="s">
        <v>397</v>
      </c>
      <c r="I58" s="32" t="s">
        <v>187</v>
      </c>
      <c r="J58" s="31" t="s">
        <v>398</v>
      </c>
      <c r="K58" s="31" t="s">
        <v>399</v>
      </c>
      <c r="L58" s="31" t="s">
        <v>70</v>
      </c>
      <c r="M58" s="33" t="s">
        <v>400</v>
      </c>
      <c r="N58" s="32" t="s">
        <v>401</v>
      </c>
      <c r="O58" s="32" t="s">
        <v>402</v>
      </c>
      <c r="P58" s="32" t="s">
        <v>1</v>
      </c>
      <c r="Q58" s="32" t="s">
        <v>70</v>
      </c>
      <c r="R58" s="32" t="s">
        <v>31</v>
      </c>
      <c r="S58" s="34" t="s">
        <v>32</v>
      </c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1"/>
      <c r="B59" s="1"/>
      <c r="C59" s="1"/>
      <c r="D59" s="1"/>
      <c r="E59" s="11" t="s">
        <v>20</v>
      </c>
      <c r="F59" s="11">
        <v>600.0</v>
      </c>
      <c r="G59" s="30" t="s">
        <v>403</v>
      </c>
      <c r="H59" s="31" t="s">
        <v>404</v>
      </c>
      <c r="I59" s="32" t="s">
        <v>187</v>
      </c>
      <c r="J59" s="31" t="s">
        <v>405</v>
      </c>
      <c r="K59" s="31" t="s">
        <v>406</v>
      </c>
      <c r="L59" s="31" t="s">
        <v>70</v>
      </c>
      <c r="M59" s="33" t="s">
        <v>407</v>
      </c>
      <c r="N59" s="32" t="s">
        <v>267</v>
      </c>
      <c r="O59" s="32" t="s">
        <v>408</v>
      </c>
      <c r="P59" s="32" t="s">
        <v>1</v>
      </c>
      <c r="Q59" s="32" t="s">
        <v>70</v>
      </c>
      <c r="R59" s="32" t="s">
        <v>31</v>
      </c>
      <c r="S59" s="34" t="s">
        <v>32</v>
      </c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1"/>
      <c r="B60" s="1"/>
      <c r="C60" s="1"/>
      <c r="D60" s="1"/>
      <c r="E60" s="11" t="s">
        <v>20</v>
      </c>
      <c r="F60" s="11">
        <v>610.0</v>
      </c>
      <c r="G60" s="30" t="s">
        <v>409</v>
      </c>
      <c r="H60" s="31" t="s">
        <v>410</v>
      </c>
      <c r="I60" s="32" t="s">
        <v>184</v>
      </c>
      <c r="J60" s="31" t="s">
        <v>411</v>
      </c>
      <c r="K60" s="31" t="s">
        <v>412</v>
      </c>
      <c r="L60" s="31" t="s">
        <v>70</v>
      </c>
      <c r="M60" s="33" t="s">
        <v>413</v>
      </c>
      <c r="N60" s="32" t="s">
        <v>267</v>
      </c>
      <c r="O60" s="32" t="s">
        <v>414</v>
      </c>
      <c r="P60" s="32" t="s">
        <v>1</v>
      </c>
      <c r="Q60" s="32" t="s">
        <v>70</v>
      </c>
      <c r="R60" s="32" t="s">
        <v>31</v>
      </c>
      <c r="S60" s="34" t="s">
        <v>32</v>
      </c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1"/>
      <c r="B61" s="1"/>
      <c r="C61" s="1"/>
      <c r="D61" s="1"/>
      <c r="E61" s="11" t="s">
        <v>20</v>
      </c>
      <c r="F61" s="11">
        <v>620.0</v>
      </c>
      <c r="G61" s="30" t="s">
        <v>415</v>
      </c>
      <c r="H61" s="31" t="s">
        <v>416</v>
      </c>
      <c r="I61" s="32" t="s">
        <v>184</v>
      </c>
      <c r="J61" s="31" t="s">
        <v>417</v>
      </c>
      <c r="K61" s="31" t="s">
        <v>418</v>
      </c>
      <c r="L61" s="31" t="s">
        <v>70</v>
      </c>
      <c r="M61" s="33" t="s">
        <v>419</v>
      </c>
      <c r="N61" s="32" t="s">
        <v>420</v>
      </c>
      <c r="O61" s="32" t="s">
        <v>421</v>
      </c>
      <c r="P61" s="32" t="s">
        <v>1</v>
      </c>
      <c r="Q61" s="32" t="s">
        <v>70</v>
      </c>
      <c r="R61" s="32" t="s">
        <v>31</v>
      </c>
      <c r="S61" s="34" t="s">
        <v>32</v>
      </c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1"/>
      <c r="B62" s="1"/>
      <c r="C62" s="1"/>
      <c r="D62" s="1"/>
      <c r="E62" s="11" t="s">
        <v>20</v>
      </c>
      <c r="F62" s="11">
        <v>630.0</v>
      </c>
      <c r="G62" s="30" t="s">
        <v>422</v>
      </c>
      <c r="H62" s="31" t="s">
        <v>423</v>
      </c>
      <c r="I62" s="32" t="s">
        <v>185</v>
      </c>
      <c r="J62" s="31" t="s">
        <v>424</v>
      </c>
      <c r="K62" s="31" t="s">
        <v>425</v>
      </c>
      <c r="L62" s="31" t="s">
        <v>70</v>
      </c>
      <c r="M62" s="33" t="s">
        <v>426</v>
      </c>
      <c r="N62" s="32" t="s">
        <v>267</v>
      </c>
      <c r="O62" s="32" t="s">
        <v>427</v>
      </c>
      <c r="P62" s="32" t="s">
        <v>5</v>
      </c>
      <c r="Q62" s="32" t="s">
        <v>70</v>
      </c>
      <c r="R62" s="32" t="s">
        <v>172</v>
      </c>
      <c r="S62" s="34" t="s">
        <v>32</v>
      </c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1"/>
      <c r="B63" s="1"/>
      <c r="C63" s="1"/>
      <c r="D63" s="1"/>
      <c r="E63" s="11" t="s">
        <v>20</v>
      </c>
      <c r="F63" s="11">
        <v>640.0</v>
      </c>
      <c r="G63" s="30" t="s">
        <v>428</v>
      </c>
      <c r="H63" s="31" t="s">
        <v>429</v>
      </c>
      <c r="I63" s="32" t="s">
        <v>185</v>
      </c>
      <c r="J63" s="31" t="s">
        <v>430</v>
      </c>
      <c r="K63" s="31" t="s">
        <v>431</v>
      </c>
      <c r="L63" s="31" t="s">
        <v>70</v>
      </c>
      <c r="M63" s="33" t="s">
        <v>432</v>
      </c>
      <c r="N63" s="32" t="s">
        <v>433</v>
      </c>
      <c r="O63" s="32" t="s">
        <v>434</v>
      </c>
      <c r="P63" s="32" t="s">
        <v>3</v>
      </c>
      <c r="Q63" s="32" t="s">
        <v>70</v>
      </c>
      <c r="R63" s="32" t="s">
        <v>31</v>
      </c>
      <c r="S63" s="34" t="s">
        <v>32</v>
      </c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1"/>
      <c r="B64" s="1"/>
      <c r="C64" s="1"/>
      <c r="D64" s="1"/>
      <c r="E64" s="37"/>
      <c r="F64" s="38"/>
      <c r="G64" s="39" t="s">
        <v>435</v>
      </c>
      <c r="H64" s="40" t="s">
        <v>436</v>
      </c>
      <c r="I64" s="40" t="s">
        <v>0</v>
      </c>
      <c r="J64" s="40" t="s">
        <v>437</v>
      </c>
      <c r="K64" s="40" t="s">
        <v>438</v>
      </c>
      <c r="L64" s="40" t="s">
        <v>439</v>
      </c>
      <c r="M64" s="40" t="s">
        <v>440</v>
      </c>
      <c r="N64" s="40" t="s">
        <v>441</v>
      </c>
      <c r="O64" s="40" t="s">
        <v>442</v>
      </c>
      <c r="P64" s="40" t="s">
        <v>1</v>
      </c>
      <c r="Q64" s="40" t="s">
        <v>30</v>
      </c>
      <c r="R64" s="40" t="s">
        <v>31</v>
      </c>
      <c r="S64" s="41" t="s">
        <v>443</v>
      </c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1"/>
      <c r="B65" s="1"/>
      <c r="C65" s="1"/>
      <c r="D65" s="1"/>
      <c r="E65" s="37"/>
      <c r="F65" s="38"/>
      <c r="G65" s="39" t="s">
        <v>444</v>
      </c>
      <c r="H65" s="40" t="s">
        <v>445</v>
      </c>
      <c r="I65" s="40" t="s">
        <v>0</v>
      </c>
      <c r="J65" s="40" t="s">
        <v>446</v>
      </c>
      <c r="K65" s="40" t="s">
        <v>447</v>
      </c>
      <c r="L65" s="40" t="s">
        <v>448</v>
      </c>
      <c r="M65" s="40" t="s">
        <v>449</v>
      </c>
      <c r="N65" s="40" t="s">
        <v>450</v>
      </c>
      <c r="O65" s="40" t="s">
        <v>451</v>
      </c>
      <c r="P65" s="40" t="s">
        <v>1</v>
      </c>
      <c r="Q65" s="40" t="s">
        <v>169</v>
      </c>
      <c r="R65" s="40" t="s">
        <v>31</v>
      </c>
      <c r="S65" s="41" t="s">
        <v>443</v>
      </c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1"/>
      <c r="B66" s="1"/>
      <c r="C66" s="1"/>
      <c r="D66" s="1"/>
      <c r="E66" s="37"/>
      <c r="F66" s="38"/>
      <c r="G66" s="39" t="s">
        <v>452</v>
      </c>
      <c r="H66" s="40" t="s">
        <v>453</v>
      </c>
      <c r="I66" s="40" t="s">
        <v>0</v>
      </c>
      <c r="J66" s="40" t="s">
        <v>454</v>
      </c>
      <c r="K66" s="40" t="s">
        <v>455</v>
      </c>
      <c r="L66" s="40" t="s">
        <v>456</v>
      </c>
      <c r="M66" s="40" t="s">
        <v>457</v>
      </c>
      <c r="N66" s="40" t="s">
        <v>458</v>
      </c>
      <c r="O66" s="40" t="s">
        <v>459</v>
      </c>
      <c r="P66" s="40" t="s">
        <v>3</v>
      </c>
      <c r="Q66" s="40" t="s">
        <v>70</v>
      </c>
      <c r="R66" s="40" t="s">
        <v>31</v>
      </c>
      <c r="S66" s="41" t="s">
        <v>443</v>
      </c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1"/>
      <c r="B67" s="1"/>
      <c r="C67" s="1"/>
      <c r="D67" s="1"/>
      <c r="E67" s="37"/>
      <c r="F67" s="38"/>
      <c r="G67" s="39" t="s">
        <v>461</v>
      </c>
      <c r="H67" s="40" t="s">
        <v>462</v>
      </c>
      <c r="I67" s="40" t="s">
        <v>0</v>
      </c>
      <c r="J67" s="40" t="s">
        <v>463</v>
      </c>
      <c r="K67" s="40" t="s">
        <v>464</v>
      </c>
      <c r="L67" s="40" t="s">
        <v>465</v>
      </c>
      <c r="M67" s="40" t="s">
        <v>466</v>
      </c>
      <c r="N67" s="40" t="s">
        <v>467</v>
      </c>
      <c r="O67" s="40" t="s">
        <v>468</v>
      </c>
      <c r="P67" s="40" t="s">
        <v>1</v>
      </c>
      <c r="Q67" s="40" t="s">
        <v>70</v>
      </c>
      <c r="R67" s="40" t="s">
        <v>31</v>
      </c>
      <c r="S67" s="41" t="s">
        <v>443</v>
      </c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1"/>
      <c r="B68" s="1"/>
      <c r="C68" s="1"/>
      <c r="D68" s="1"/>
      <c r="E68" s="37"/>
      <c r="F68" s="38"/>
      <c r="G68" s="39" t="s">
        <v>469</v>
      </c>
      <c r="H68" s="40" t="s">
        <v>470</v>
      </c>
      <c r="I68" s="40" t="s">
        <v>0</v>
      </c>
      <c r="J68" s="40" t="s">
        <v>471</v>
      </c>
      <c r="K68" s="40" t="s">
        <v>472</v>
      </c>
      <c r="L68" s="40" t="s">
        <v>473</v>
      </c>
      <c r="M68" s="40" t="s">
        <v>474</v>
      </c>
      <c r="N68" s="40" t="s">
        <v>450</v>
      </c>
      <c r="O68" s="40" t="s">
        <v>475</v>
      </c>
      <c r="P68" s="40" t="s">
        <v>1</v>
      </c>
      <c r="Q68" s="40" t="s">
        <v>169</v>
      </c>
      <c r="R68" s="40" t="s">
        <v>31</v>
      </c>
      <c r="S68" s="41" t="s">
        <v>443</v>
      </c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1"/>
      <c r="B69" s="1"/>
      <c r="C69" s="1"/>
      <c r="D69" s="1"/>
      <c r="E69" s="37"/>
      <c r="F69" s="38"/>
      <c r="G69" s="39" t="s">
        <v>476</v>
      </c>
      <c r="H69" s="40" t="s">
        <v>477</v>
      </c>
      <c r="I69" s="40" t="s">
        <v>0</v>
      </c>
      <c r="J69" s="40" t="s">
        <v>478</v>
      </c>
      <c r="K69" s="40" t="s">
        <v>479</v>
      </c>
      <c r="L69" s="40" t="s">
        <v>480</v>
      </c>
      <c r="M69" s="40" t="s">
        <v>481</v>
      </c>
      <c r="N69" s="40" t="s">
        <v>28</v>
      </c>
      <c r="O69" s="40" t="s">
        <v>482</v>
      </c>
      <c r="P69" s="40" t="s">
        <v>1</v>
      </c>
      <c r="Q69" s="40" t="s">
        <v>169</v>
      </c>
      <c r="R69" s="40" t="s">
        <v>31</v>
      </c>
      <c r="S69" s="41" t="s">
        <v>443</v>
      </c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1"/>
      <c r="B70" s="1"/>
      <c r="C70" s="1"/>
      <c r="D70" s="1"/>
      <c r="E70" s="37"/>
      <c r="F70" s="38"/>
      <c r="G70" s="39" t="s">
        <v>483</v>
      </c>
      <c r="H70" s="46" t="s">
        <v>484</v>
      </c>
      <c r="I70" s="46" t="s">
        <v>0</v>
      </c>
      <c r="J70" s="46" t="s">
        <v>485</v>
      </c>
      <c r="K70" s="46" t="s">
        <v>486</v>
      </c>
      <c r="L70" s="46" t="s">
        <v>487</v>
      </c>
      <c r="M70" s="46" t="s">
        <v>488</v>
      </c>
      <c r="N70" s="46" t="s">
        <v>489</v>
      </c>
      <c r="O70" s="46" t="s">
        <v>490</v>
      </c>
      <c r="P70" s="46" t="s">
        <v>1</v>
      </c>
      <c r="Q70" s="46" t="s">
        <v>169</v>
      </c>
      <c r="R70" s="46" t="s">
        <v>31</v>
      </c>
      <c r="S70" s="48" t="s">
        <v>443</v>
      </c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1"/>
      <c r="B71" s="1"/>
      <c r="C71" s="1"/>
      <c r="D71" s="1"/>
      <c r="E71" s="37"/>
      <c r="F71" s="38"/>
      <c r="G71" s="39" t="s">
        <v>491</v>
      </c>
      <c r="H71" s="46" t="s">
        <v>492</v>
      </c>
      <c r="I71" s="46" t="s">
        <v>0</v>
      </c>
      <c r="J71" s="46" t="s">
        <v>493</v>
      </c>
      <c r="K71" s="46" t="s">
        <v>494</v>
      </c>
      <c r="L71" s="46" t="s">
        <v>495</v>
      </c>
      <c r="M71" s="46" t="s">
        <v>496</v>
      </c>
      <c r="N71" s="46" t="s">
        <v>497</v>
      </c>
      <c r="O71" s="46" t="s">
        <v>498</v>
      </c>
      <c r="P71" s="46" t="s">
        <v>1</v>
      </c>
      <c r="Q71" s="46" t="s">
        <v>169</v>
      </c>
      <c r="R71" s="46" t="s">
        <v>31</v>
      </c>
      <c r="S71" s="48" t="s">
        <v>443</v>
      </c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1"/>
      <c r="B72" s="1"/>
      <c r="C72" s="1"/>
      <c r="D72" s="1"/>
      <c r="E72" s="37"/>
      <c r="F72" s="38"/>
      <c r="G72" s="39" t="s">
        <v>499</v>
      </c>
      <c r="H72" s="46" t="s">
        <v>500</v>
      </c>
      <c r="I72" s="46" t="s">
        <v>0</v>
      </c>
      <c r="J72" s="46" t="s">
        <v>501</v>
      </c>
      <c r="K72" s="46" t="s">
        <v>502</v>
      </c>
      <c r="L72" s="46" t="s">
        <v>503</v>
      </c>
      <c r="M72" s="46" t="s">
        <v>504</v>
      </c>
      <c r="N72" s="46" t="s">
        <v>441</v>
      </c>
      <c r="O72" s="46" t="s">
        <v>505</v>
      </c>
      <c r="P72" s="46" t="s">
        <v>1</v>
      </c>
      <c r="Q72" s="46" t="s">
        <v>30</v>
      </c>
      <c r="R72" s="46" t="s">
        <v>31</v>
      </c>
      <c r="S72" s="48" t="s">
        <v>443</v>
      </c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1"/>
      <c r="B73" s="1"/>
      <c r="C73" s="1"/>
      <c r="D73" s="1"/>
      <c r="E73" s="8"/>
      <c r="F73" s="8"/>
      <c r="G73" s="39" t="s">
        <v>506</v>
      </c>
      <c r="H73" s="46" t="s">
        <v>507</v>
      </c>
      <c r="I73" s="46" t="s">
        <v>0</v>
      </c>
      <c r="J73" s="46" t="s">
        <v>508</v>
      </c>
      <c r="K73" s="46" t="s">
        <v>509</v>
      </c>
      <c r="L73" s="46" t="s">
        <v>510</v>
      </c>
      <c r="M73" s="46" t="s">
        <v>511</v>
      </c>
      <c r="N73" s="46" t="s">
        <v>441</v>
      </c>
      <c r="O73" s="46" t="s">
        <v>512</v>
      </c>
      <c r="P73" s="46" t="s">
        <v>1</v>
      </c>
      <c r="Q73" s="46" t="s">
        <v>30</v>
      </c>
      <c r="R73" s="46" t="s">
        <v>31</v>
      </c>
      <c r="S73" s="48" t="s">
        <v>443</v>
      </c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1"/>
      <c r="B74" s="1"/>
      <c r="C74" s="1"/>
      <c r="D74" s="1"/>
      <c r="E74" s="8"/>
      <c r="F74" s="8"/>
      <c r="G74" s="39" t="s">
        <v>513</v>
      </c>
      <c r="H74" s="46" t="s">
        <v>514</v>
      </c>
      <c r="I74" s="46" t="s">
        <v>0</v>
      </c>
      <c r="J74" s="46" t="s">
        <v>515</v>
      </c>
      <c r="K74" s="46" t="s">
        <v>516</v>
      </c>
      <c r="L74" s="46" t="s">
        <v>517</v>
      </c>
      <c r="M74" s="46" t="s">
        <v>518</v>
      </c>
      <c r="N74" s="46" t="s">
        <v>519</v>
      </c>
      <c r="O74" s="46" t="s">
        <v>520</v>
      </c>
      <c r="P74" s="46" t="s">
        <v>1</v>
      </c>
      <c r="Q74" s="46" t="s">
        <v>169</v>
      </c>
      <c r="R74" s="46" t="s">
        <v>31</v>
      </c>
      <c r="S74" s="48" t="s">
        <v>443</v>
      </c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1"/>
      <c r="B75" s="1"/>
      <c r="C75" s="1"/>
      <c r="D75" s="1"/>
      <c r="E75" s="8"/>
      <c r="F75" s="8"/>
      <c r="G75" s="39" t="s">
        <v>521</v>
      </c>
      <c r="H75" s="46" t="s">
        <v>522</v>
      </c>
      <c r="I75" s="46" t="s">
        <v>0</v>
      </c>
      <c r="J75" s="46" t="s">
        <v>523</v>
      </c>
      <c r="K75" s="46" t="s">
        <v>524</v>
      </c>
      <c r="L75" s="46" t="s">
        <v>525</v>
      </c>
      <c r="M75" s="46" t="s">
        <v>526</v>
      </c>
      <c r="N75" s="46" t="s">
        <v>467</v>
      </c>
      <c r="O75" s="46" t="s">
        <v>527</v>
      </c>
      <c r="P75" s="46" t="s">
        <v>1</v>
      </c>
      <c r="Q75" s="46" t="s">
        <v>169</v>
      </c>
      <c r="R75" s="46" t="s">
        <v>31</v>
      </c>
      <c r="S75" s="48" t="s">
        <v>443</v>
      </c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1"/>
      <c r="B76" s="1"/>
      <c r="C76" s="1"/>
      <c r="D76" s="1"/>
      <c r="E76" s="8"/>
      <c r="F76" s="8"/>
      <c r="G76" s="39" t="s">
        <v>528</v>
      </c>
      <c r="H76" s="46" t="s">
        <v>529</v>
      </c>
      <c r="I76" s="46" t="s">
        <v>0</v>
      </c>
      <c r="J76" s="46" t="s">
        <v>530</v>
      </c>
      <c r="K76" s="46" t="s">
        <v>531</v>
      </c>
      <c r="L76" s="46" t="s">
        <v>532</v>
      </c>
      <c r="M76" s="46" t="s">
        <v>533</v>
      </c>
      <c r="N76" s="46" t="s">
        <v>534</v>
      </c>
      <c r="O76" s="46" t="s">
        <v>535</v>
      </c>
      <c r="P76" s="46" t="s">
        <v>1</v>
      </c>
      <c r="Q76" s="46" t="s">
        <v>169</v>
      </c>
      <c r="R76" s="46" t="s">
        <v>31</v>
      </c>
      <c r="S76" s="48" t="s">
        <v>443</v>
      </c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1"/>
      <c r="B77" s="1"/>
      <c r="C77" s="1"/>
      <c r="D77" s="1"/>
      <c r="E77" s="8"/>
      <c r="F77" s="8"/>
      <c r="G77" s="39" t="s">
        <v>536</v>
      </c>
      <c r="H77" s="46" t="s">
        <v>537</v>
      </c>
      <c r="I77" s="46" t="s">
        <v>2</v>
      </c>
      <c r="J77" s="46" t="s">
        <v>538</v>
      </c>
      <c r="K77" s="46" t="s">
        <v>539</v>
      </c>
      <c r="L77" s="46" t="s">
        <v>540</v>
      </c>
      <c r="M77" s="46" t="s">
        <v>541</v>
      </c>
      <c r="N77" s="46" t="s">
        <v>542</v>
      </c>
      <c r="O77" s="46" t="s">
        <v>543</v>
      </c>
      <c r="P77" s="46" t="s">
        <v>1</v>
      </c>
      <c r="Q77" s="46" t="s">
        <v>30</v>
      </c>
      <c r="R77" s="46" t="s">
        <v>31</v>
      </c>
      <c r="S77" s="48" t="s">
        <v>443</v>
      </c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1"/>
      <c r="B78" s="1"/>
      <c r="C78" s="1"/>
      <c r="D78" s="1"/>
      <c r="E78" s="8"/>
      <c r="F78" s="8"/>
      <c r="G78" s="39" t="s">
        <v>544</v>
      </c>
      <c r="H78" s="46" t="s">
        <v>545</v>
      </c>
      <c r="I78" s="46" t="s">
        <v>0</v>
      </c>
      <c r="J78" s="46" t="s">
        <v>546</v>
      </c>
      <c r="K78" s="46" t="s">
        <v>547</v>
      </c>
      <c r="L78" s="46" t="s">
        <v>548</v>
      </c>
      <c r="M78" s="46" t="s">
        <v>549</v>
      </c>
      <c r="N78" s="46" t="s">
        <v>534</v>
      </c>
      <c r="O78" s="46" t="s">
        <v>550</v>
      </c>
      <c r="P78" s="46" t="s">
        <v>1</v>
      </c>
      <c r="Q78" s="46" t="s">
        <v>30</v>
      </c>
      <c r="R78" s="46" t="s">
        <v>31</v>
      </c>
      <c r="S78" s="48" t="s">
        <v>443</v>
      </c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1"/>
      <c r="B79" s="1"/>
      <c r="C79" s="1"/>
      <c r="D79" s="1"/>
      <c r="E79" s="8"/>
      <c r="F79" s="8"/>
      <c r="G79" s="39" t="s">
        <v>551</v>
      </c>
      <c r="H79" s="46" t="s">
        <v>552</v>
      </c>
      <c r="I79" s="46" t="s">
        <v>0</v>
      </c>
      <c r="J79" s="46" t="s">
        <v>553</v>
      </c>
      <c r="K79" s="46" t="s">
        <v>554</v>
      </c>
      <c r="L79" s="46" t="s">
        <v>555</v>
      </c>
      <c r="M79" s="46" t="s">
        <v>556</v>
      </c>
      <c r="N79" s="46" t="s">
        <v>534</v>
      </c>
      <c r="O79" s="46" t="s">
        <v>557</v>
      </c>
      <c r="P79" s="46" t="s">
        <v>1</v>
      </c>
      <c r="Q79" s="51" t="s">
        <v>30</v>
      </c>
      <c r="R79" s="46" t="s">
        <v>31</v>
      </c>
      <c r="S79" s="48" t="s">
        <v>443</v>
      </c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1"/>
      <c r="B80" s="1"/>
      <c r="C80" s="1"/>
      <c r="D80" s="1"/>
      <c r="E80" s="8"/>
      <c r="F80" s="8"/>
      <c r="G80" s="39" t="s">
        <v>558</v>
      </c>
      <c r="H80" s="46" t="s">
        <v>559</v>
      </c>
      <c r="I80" s="46" t="s">
        <v>0</v>
      </c>
      <c r="J80" s="46" t="s">
        <v>560</v>
      </c>
      <c r="K80" s="46" t="s">
        <v>561</v>
      </c>
      <c r="L80" s="46" t="s">
        <v>562</v>
      </c>
      <c r="M80" s="46" t="s">
        <v>563</v>
      </c>
      <c r="N80" s="46" t="s">
        <v>534</v>
      </c>
      <c r="O80" s="46" t="s">
        <v>564</v>
      </c>
      <c r="P80" s="46" t="s">
        <v>1</v>
      </c>
      <c r="Q80" s="46" t="s">
        <v>30</v>
      </c>
      <c r="R80" s="46" t="s">
        <v>31</v>
      </c>
      <c r="S80" s="48" t="s">
        <v>443</v>
      </c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1"/>
      <c r="B81" s="1"/>
      <c r="C81" s="1"/>
      <c r="D81" s="1"/>
      <c r="E81" s="8"/>
      <c r="F81" s="8"/>
      <c r="G81" s="39" t="s">
        <v>565</v>
      </c>
      <c r="H81" s="46" t="s">
        <v>566</v>
      </c>
      <c r="I81" s="46" t="s">
        <v>0</v>
      </c>
      <c r="J81" s="46" t="s">
        <v>567</v>
      </c>
      <c r="K81" s="46" t="s">
        <v>568</v>
      </c>
      <c r="L81" s="46" t="s">
        <v>569</v>
      </c>
      <c r="M81" s="46" t="s">
        <v>570</v>
      </c>
      <c r="N81" s="46" t="s">
        <v>534</v>
      </c>
      <c r="O81" s="46" t="s">
        <v>571</v>
      </c>
      <c r="P81" s="46" t="s">
        <v>1</v>
      </c>
      <c r="Q81" s="46" t="s">
        <v>30</v>
      </c>
      <c r="R81" s="46" t="s">
        <v>31</v>
      </c>
      <c r="S81" s="48" t="s">
        <v>443</v>
      </c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1"/>
      <c r="B82" s="1"/>
      <c r="C82" s="1"/>
      <c r="D82" s="1"/>
      <c r="E82" s="8"/>
      <c r="F82" s="8"/>
      <c r="G82" s="39" t="s">
        <v>572</v>
      </c>
      <c r="H82" s="46" t="s">
        <v>573</v>
      </c>
      <c r="I82" s="46" t="s">
        <v>0</v>
      </c>
      <c r="J82" s="46" t="s">
        <v>574</v>
      </c>
      <c r="K82" s="46" t="s">
        <v>575</v>
      </c>
      <c r="L82" s="46" t="s">
        <v>576</v>
      </c>
      <c r="M82" s="46" t="s">
        <v>577</v>
      </c>
      <c r="N82" s="46" t="s">
        <v>578</v>
      </c>
      <c r="O82" s="46" t="s">
        <v>579</v>
      </c>
      <c r="P82" s="46" t="s">
        <v>1</v>
      </c>
      <c r="Q82" s="46" t="s">
        <v>169</v>
      </c>
      <c r="R82" s="46" t="s">
        <v>31</v>
      </c>
      <c r="S82" s="48" t="s">
        <v>443</v>
      </c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1"/>
      <c r="B83" s="1"/>
      <c r="C83" s="1"/>
      <c r="D83" s="1"/>
      <c r="E83" s="8"/>
      <c r="F83" s="8"/>
      <c r="G83" s="39" t="s">
        <v>581</v>
      </c>
      <c r="H83" s="46" t="s">
        <v>582</v>
      </c>
      <c r="I83" s="46" t="s">
        <v>0</v>
      </c>
      <c r="J83" s="46" t="s">
        <v>583</v>
      </c>
      <c r="K83" s="46" t="s">
        <v>584</v>
      </c>
      <c r="L83" s="46" t="s">
        <v>585</v>
      </c>
      <c r="M83" s="46" t="s">
        <v>586</v>
      </c>
      <c r="N83" s="46" t="s">
        <v>467</v>
      </c>
      <c r="O83" s="46" t="s">
        <v>587</v>
      </c>
      <c r="P83" s="46" t="s">
        <v>1</v>
      </c>
      <c r="Q83" s="46" t="s">
        <v>169</v>
      </c>
      <c r="R83" s="46" t="s">
        <v>31</v>
      </c>
      <c r="S83" s="48" t="s">
        <v>443</v>
      </c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1"/>
      <c r="B84" s="1"/>
      <c r="C84" s="1"/>
      <c r="D84" s="1"/>
      <c r="E84" s="8"/>
      <c r="F84" s="8"/>
      <c r="G84" s="39" t="s">
        <v>588</v>
      </c>
      <c r="H84" s="46" t="s">
        <v>589</v>
      </c>
      <c r="I84" s="46" t="s">
        <v>2</v>
      </c>
      <c r="J84" s="46" t="s">
        <v>590</v>
      </c>
      <c r="K84" s="46" t="s">
        <v>591</v>
      </c>
      <c r="L84" s="46" t="s">
        <v>592</v>
      </c>
      <c r="M84" s="46" t="s">
        <v>593</v>
      </c>
      <c r="N84" s="46" t="s">
        <v>542</v>
      </c>
      <c r="O84" s="46" t="s">
        <v>594</v>
      </c>
      <c r="P84" s="46" t="s">
        <v>1</v>
      </c>
      <c r="Q84" s="46" t="s">
        <v>30</v>
      </c>
      <c r="R84" s="46" t="s">
        <v>31</v>
      </c>
      <c r="S84" s="48" t="s">
        <v>443</v>
      </c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1"/>
      <c r="B85" s="1"/>
      <c r="C85" s="1"/>
      <c r="D85" s="1"/>
      <c r="E85" s="8"/>
      <c r="F85" s="8"/>
      <c r="G85" s="39" t="s">
        <v>595</v>
      </c>
      <c r="H85" s="46" t="s">
        <v>596</v>
      </c>
      <c r="I85" s="46" t="s">
        <v>0</v>
      </c>
      <c r="J85" s="46" t="s">
        <v>597</v>
      </c>
      <c r="K85" s="46" t="s">
        <v>598</v>
      </c>
      <c r="L85" s="46" t="s">
        <v>599</v>
      </c>
      <c r="M85" s="46" t="s">
        <v>600</v>
      </c>
      <c r="N85" s="46" t="s">
        <v>601</v>
      </c>
      <c r="O85" s="46" t="s">
        <v>602</v>
      </c>
      <c r="P85" s="46" t="s">
        <v>1</v>
      </c>
      <c r="Q85" s="46" t="s">
        <v>30</v>
      </c>
      <c r="R85" s="46" t="s">
        <v>31</v>
      </c>
      <c r="S85" s="48" t="s">
        <v>443</v>
      </c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1"/>
      <c r="B86" s="1"/>
      <c r="C86" s="1"/>
      <c r="D86" s="1"/>
      <c r="E86" s="8"/>
      <c r="F86" s="8"/>
      <c r="G86" s="39" t="s">
        <v>603</v>
      </c>
      <c r="H86" s="46" t="s">
        <v>605</v>
      </c>
      <c r="I86" s="46" t="s">
        <v>0</v>
      </c>
      <c r="J86" s="46" t="s">
        <v>606</v>
      </c>
      <c r="K86" s="46" t="s">
        <v>607</v>
      </c>
      <c r="L86" s="46" t="s">
        <v>608</v>
      </c>
      <c r="M86" s="46" t="s">
        <v>609</v>
      </c>
      <c r="N86" s="46" t="s">
        <v>610</v>
      </c>
      <c r="O86" s="46" t="s">
        <v>611</v>
      </c>
      <c r="P86" s="46" t="s">
        <v>1</v>
      </c>
      <c r="Q86" s="46" t="s">
        <v>30</v>
      </c>
      <c r="R86" s="46" t="s">
        <v>31</v>
      </c>
      <c r="S86" s="48" t="s">
        <v>443</v>
      </c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1"/>
      <c r="B87" s="1"/>
      <c r="C87" s="1"/>
      <c r="D87" s="1"/>
      <c r="E87" s="8"/>
      <c r="F87" s="8"/>
      <c r="G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1"/>
      <c r="B88" s="1"/>
      <c r="C88" s="1"/>
      <c r="D88" s="1"/>
      <c r="E88" s="8"/>
      <c r="F88" s="8"/>
      <c r="G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1"/>
      <c r="B89" s="1"/>
      <c r="C89" s="1"/>
      <c r="D89" s="1"/>
      <c r="E89" s="8"/>
      <c r="F89" s="8"/>
      <c r="G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1"/>
      <c r="B90" s="1"/>
      <c r="C90" s="1"/>
      <c r="D90" s="1"/>
      <c r="E90" s="8"/>
      <c r="F90" s="8"/>
      <c r="G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1"/>
      <c r="B91" s="1"/>
      <c r="C91" s="1"/>
      <c r="D91" s="1"/>
      <c r="E91" s="8"/>
      <c r="F91" s="8"/>
      <c r="G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1"/>
      <c r="B92" s="1"/>
      <c r="C92" s="1"/>
      <c r="D92" s="1"/>
      <c r="E92" s="8"/>
      <c r="F92" s="8"/>
      <c r="G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1"/>
      <c r="B93" s="1"/>
      <c r="C93" s="1"/>
      <c r="D93" s="1"/>
      <c r="E93" s="8"/>
      <c r="F93" s="8"/>
      <c r="G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1"/>
      <c r="B94" s="1"/>
      <c r="C94" s="1"/>
      <c r="D94" s="1"/>
      <c r="E94" s="8"/>
      <c r="F94" s="8"/>
      <c r="G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1"/>
      <c r="B95" s="1"/>
      <c r="C95" s="1"/>
      <c r="D95" s="1"/>
      <c r="E95" s="8"/>
      <c r="F95" s="8"/>
      <c r="G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1"/>
      <c r="B96" s="1"/>
      <c r="C96" s="1"/>
      <c r="D96" s="1"/>
      <c r="E96" s="8"/>
      <c r="F96" s="8"/>
      <c r="G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1"/>
      <c r="B97" s="1"/>
      <c r="C97" s="1"/>
      <c r="D97" s="1"/>
      <c r="E97" s="8"/>
      <c r="F97" s="8"/>
      <c r="G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1"/>
      <c r="B98" s="1"/>
      <c r="C98" s="1"/>
      <c r="D98" s="1"/>
      <c r="E98" s="8"/>
      <c r="F98" s="8"/>
      <c r="G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1"/>
      <c r="B99" s="1"/>
      <c r="C99" s="1"/>
      <c r="D99" s="1"/>
      <c r="E99" s="8"/>
      <c r="F99" s="8"/>
      <c r="G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1"/>
      <c r="B100" s="1"/>
      <c r="C100" s="1"/>
      <c r="D100" s="1"/>
      <c r="E100" s="8"/>
      <c r="F100" s="8"/>
      <c r="G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1"/>
      <c r="B101" s="1"/>
      <c r="C101" s="1"/>
      <c r="D101" s="1"/>
      <c r="E101" s="8"/>
      <c r="F101" s="8"/>
      <c r="G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1"/>
      <c r="B102" s="1"/>
      <c r="C102" s="1"/>
      <c r="D102" s="1"/>
      <c r="E102" s="8"/>
      <c r="F102" s="8"/>
      <c r="G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1"/>
      <c r="B103" s="1"/>
      <c r="C103" s="1"/>
      <c r="D103" s="1"/>
      <c r="E103" s="8"/>
      <c r="F103" s="8"/>
      <c r="G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1"/>
      <c r="B104" s="1"/>
      <c r="C104" s="1"/>
      <c r="D104" s="1"/>
      <c r="E104" s="8"/>
      <c r="F104" s="8"/>
      <c r="G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1"/>
      <c r="B105" s="1"/>
      <c r="C105" s="1"/>
      <c r="D105" s="1"/>
      <c r="E105" s="8"/>
      <c r="F105" s="8"/>
      <c r="G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1"/>
      <c r="B106" s="1"/>
      <c r="C106" s="1"/>
      <c r="D106" s="1"/>
      <c r="E106" s="8"/>
      <c r="F106" s="8"/>
      <c r="G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1"/>
      <c r="B107" s="1"/>
      <c r="C107" s="1"/>
      <c r="D107" s="1"/>
      <c r="E107" s="8"/>
      <c r="F107" s="8"/>
      <c r="G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1"/>
      <c r="B108" s="1"/>
      <c r="C108" s="1"/>
      <c r="D108" s="1"/>
      <c r="E108" s="8"/>
      <c r="F108" s="8"/>
      <c r="G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1"/>
      <c r="B109" s="1"/>
      <c r="C109" s="1"/>
      <c r="D109" s="1"/>
      <c r="E109" s="8"/>
      <c r="F109" s="8"/>
      <c r="G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1"/>
      <c r="B110" s="1"/>
      <c r="C110" s="1"/>
      <c r="D110" s="1"/>
      <c r="E110" s="8"/>
      <c r="F110" s="8"/>
      <c r="G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1"/>
      <c r="B111" s="1"/>
      <c r="C111" s="1"/>
      <c r="D111" s="1"/>
      <c r="E111" s="8"/>
      <c r="F111" s="8"/>
      <c r="G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1"/>
      <c r="B112" s="1"/>
      <c r="C112" s="1"/>
      <c r="D112" s="1"/>
      <c r="E112" s="8"/>
      <c r="F112" s="8"/>
      <c r="G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1"/>
      <c r="B113" s="1"/>
      <c r="C113" s="1"/>
      <c r="D113" s="1"/>
      <c r="E113" s="8"/>
      <c r="F113" s="8"/>
      <c r="G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1"/>
      <c r="B114" s="1"/>
      <c r="C114" s="1"/>
      <c r="D114" s="1"/>
      <c r="E114" s="8"/>
      <c r="F114" s="8"/>
      <c r="G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1"/>
      <c r="B115" s="1"/>
      <c r="C115" s="1"/>
      <c r="D115" s="1"/>
      <c r="E115" s="8"/>
      <c r="F115" s="8"/>
      <c r="G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1"/>
      <c r="B116" s="1"/>
      <c r="C116" s="1"/>
      <c r="D116" s="1"/>
      <c r="E116" s="8"/>
      <c r="F116" s="8"/>
      <c r="G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1"/>
      <c r="B117" s="1"/>
      <c r="C117" s="1"/>
      <c r="D117" s="1"/>
      <c r="E117" s="8"/>
      <c r="F117" s="8"/>
      <c r="G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1"/>
      <c r="B118" s="1"/>
      <c r="C118" s="1"/>
      <c r="D118" s="1"/>
      <c r="E118" s="8"/>
      <c r="F118" s="8"/>
      <c r="G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1"/>
      <c r="B119" s="1"/>
      <c r="C119" s="1"/>
      <c r="D119" s="1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1"/>
      <c r="B120" s="1"/>
      <c r="C120" s="1"/>
      <c r="D120" s="1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1"/>
      <c r="B121" s="1"/>
      <c r="C121" s="1"/>
      <c r="D121" s="1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42.0" customHeight="1">
      <c r="A122" s="1"/>
      <c r="B122" s="1"/>
      <c r="C122" s="1"/>
      <c r="D122" s="1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1"/>
      <c r="B123" s="1"/>
      <c r="C123" s="1"/>
      <c r="D123" s="1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1"/>
      <c r="B124" s="1"/>
      <c r="C124" s="1"/>
      <c r="D124" s="1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1"/>
      <c r="B125" s="1"/>
      <c r="C125" s="1"/>
      <c r="D125" s="1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1"/>
      <c r="B126" s="1"/>
      <c r="C126" s="1"/>
      <c r="D126" s="1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1"/>
      <c r="B127" s="1"/>
      <c r="C127" s="1"/>
      <c r="D127" s="1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1"/>
      <c r="B128" s="1"/>
      <c r="C128" s="1"/>
      <c r="D128" s="1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1"/>
      <c r="B129" s="1"/>
      <c r="C129" s="1"/>
      <c r="D129" s="1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48.0" customHeight="1">
      <c r="A130" s="1"/>
      <c r="B130" s="1"/>
      <c r="C130" s="1"/>
      <c r="D130" s="1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1"/>
      <c r="B131" s="1"/>
      <c r="C131" s="1"/>
      <c r="D131" s="1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1"/>
      <c r="B132" s="1"/>
      <c r="C132" s="1"/>
      <c r="D132" s="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46.5" customHeight="1">
      <c r="A133" s="1"/>
      <c r="B133" s="1"/>
      <c r="C133" s="1"/>
      <c r="D133" s="1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34.5" customHeight="1">
      <c r="A134" s="1"/>
      <c r="B134" s="1"/>
      <c r="C134" s="1"/>
      <c r="D134" s="1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45.0" customHeight="1">
      <c r="A135" s="1"/>
      <c r="B135" s="1"/>
      <c r="C135" s="1"/>
      <c r="D135" s="1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46.5" customHeight="1">
      <c r="A136" s="1"/>
      <c r="B136" s="1"/>
      <c r="C136" s="1"/>
      <c r="D136" s="1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45.0" customHeight="1">
      <c r="A137" s="1"/>
      <c r="B137" s="1"/>
      <c r="C137" s="1"/>
      <c r="D137" s="1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43.5" customHeight="1">
      <c r="A138" s="1"/>
      <c r="B138" s="1"/>
      <c r="C138" s="1"/>
      <c r="D138" s="1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37.5" customHeight="1">
      <c r="A139" s="1"/>
      <c r="B139" s="1"/>
      <c r="C139" s="1"/>
      <c r="D139" s="1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36.0" customHeight="1">
      <c r="A140" s="1"/>
      <c r="B140" s="1"/>
      <c r="C140" s="1"/>
      <c r="D140" s="1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43.5" customHeight="1">
      <c r="A141" s="1"/>
      <c r="B141" s="1"/>
      <c r="C141" s="1"/>
      <c r="D141" s="1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39.0" customHeight="1">
      <c r="A142" s="1"/>
      <c r="B142" s="1"/>
      <c r="C142" s="1"/>
      <c r="D142" s="1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1"/>
      <c r="B143" s="1"/>
      <c r="C143" s="1"/>
      <c r="D143" s="1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39.0" customHeight="1">
      <c r="A144" s="1"/>
      <c r="B144" s="1"/>
      <c r="C144" s="1"/>
      <c r="D144" s="1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42.0" customHeight="1">
      <c r="A145" s="1"/>
      <c r="B145" s="1"/>
      <c r="C145" s="1"/>
      <c r="D145" s="1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1"/>
      <c r="B146" s="1"/>
      <c r="C146" s="1"/>
      <c r="D146" s="1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1"/>
      <c r="B147" s="1"/>
      <c r="C147" s="1"/>
      <c r="D147" s="1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1"/>
      <c r="B148" s="1"/>
      <c r="C148" s="1"/>
      <c r="D148" s="1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42.0" customHeight="1">
      <c r="A149" s="1"/>
      <c r="B149" s="1"/>
      <c r="C149" s="1"/>
      <c r="D149" s="1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42.0" customHeight="1">
      <c r="A150" s="1"/>
      <c r="B150" s="1"/>
      <c r="C150" s="1"/>
      <c r="D150" s="1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36.0" customHeight="1">
      <c r="A151" s="1"/>
      <c r="B151" s="1"/>
      <c r="C151" s="1"/>
      <c r="D151" s="1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37.5" customHeight="1">
      <c r="A152" s="1"/>
      <c r="B152" s="1"/>
      <c r="C152" s="1"/>
      <c r="D152" s="1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48.0" customHeight="1">
      <c r="A153" s="1"/>
      <c r="B153" s="1"/>
      <c r="C153" s="1"/>
      <c r="D153" s="1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37.5" customHeight="1">
      <c r="A154" s="1"/>
      <c r="B154" s="1"/>
      <c r="C154" s="1"/>
      <c r="D154" s="1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1"/>
      <c r="B155" s="1"/>
      <c r="C155" s="1"/>
      <c r="D155" s="1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1"/>
      <c r="B156" s="1"/>
      <c r="C156" s="1"/>
      <c r="D156" s="1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1"/>
      <c r="B157" s="1"/>
      <c r="C157" s="1"/>
      <c r="D157" s="1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58.5" customHeight="1">
      <c r="A158" s="1"/>
      <c r="B158" s="1"/>
      <c r="C158" s="1"/>
      <c r="D158" s="1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1"/>
      <c r="B159" s="1"/>
      <c r="C159" s="1"/>
      <c r="D159" s="1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1"/>
      <c r="B160" s="1"/>
      <c r="C160" s="1"/>
      <c r="D160" s="1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1"/>
      <c r="B161" s="1"/>
      <c r="C161" s="1"/>
      <c r="D161" s="1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1"/>
      <c r="B162" s="1"/>
      <c r="C162" s="1"/>
      <c r="D162" s="1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1"/>
      <c r="B163" s="1"/>
      <c r="C163" s="1"/>
      <c r="D163" s="1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1"/>
      <c r="B164" s="1"/>
      <c r="C164" s="1"/>
      <c r="D164" s="1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1"/>
      <c r="B165" s="1"/>
      <c r="C165" s="1"/>
      <c r="D165" s="1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1"/>
      <c r="B166" s="1"/>
      <c r="C166" s="1"/>
      <c r="D166" s="1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1"/>
      <c r="B167" s="1"/>
      <c r="C167" s="1"/>
      <c r="D167" s="1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1"/>
      <c r="B168" s="1"/>
      <c r="C168" s="1"/>
      <c r="D168" s="1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1"/>
      <c r="B169" s="1"/>
      <c r="C169" s="1"/>
      <c r="D169" s="1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1"/>
      <c r="B170" s="1"/>
      <c r="C170" s="1"/>
      <c r="D170" s="1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1"/>
      <c r="B171" s="1"/>
      <c r="C171" s="1"/>
      <c r="D171" s="1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1"/>
      <c r="B172" s="1"/>
      <c r="C172" s="1"/>
      <c r="D172" s="1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1"/>
      <c r="B173" s="1"/>
      <c r="C173" s="1"/>
      <c r="D173" s="1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1"/>
      <c r="B174" s="1"/>
      <c r="C174" s="1"/>
      <c r="D174" s="1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1"/>
      <c r="B175" s="1"/>
      <c r="C175" s="1"/>
      <c r="D175" s="1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1"/>
      <c r="B176" s="1"/>
      <c r="C176" s="1"/>
      <c r="D176" s="1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1"/>
      <c r="B177" s="1"/>
      <c r="C177" s="1"/>
      <c r="D177" s="1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1"/>
      <c r="B178" s="1"/>
      <c r="C178" s="1"/>
      <c r="D178" s="1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1"/>
      <c r="B179" s="1"/>
      <c r="C179" s="1"/>
      <c r="D179" s="1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1"/>
      <c r="B180" s="1"/>
      <c r="C180" s="1"/>
      <c r="D180" s="1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1"/>
      <c r="B181" s="1"/>
      <c r="C181" s="1"/>
      <c r="D181" s="1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1"/>
      <c r="B182" s="1"/>
      <c r="C182" s="1"/>
      <c r="D182" s="1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1"/>
      <c r="B183" s="1"/>
      <c r="C183" s="1"/>
      <c r="D183" s="1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1"/>
      <c r="B184" s="1"/>
      <c r="C184" s="1"/>
      <c r="D184" s="1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1"/>
      <c r="B185" s="1"/>
      <c r="C185" s="1"/>
      <c r="D185" s="1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1"/>
      <c r="B186" s="1"/>
      <c r="C186" s="1"/>
      <c r="D186" s="1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1"/>
      <c r="B187" s="1"/>
      <c r="C187" s="1"/>
      <c r="D187" s="1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1"/>
      <c r="B188" s="1"/>
      <c r="C188" s="1"/>
      <c r="D188" s="1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1"/>
      <c r="B189" s="1"/>
      <c r="C189" s="1"/>
      <c r="D189" s="1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1"/>
      <c r="B190" s="1"/>
      <c r="C190" s="1"/>
      <c r="D190" s="1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1"/>
      <c r="B191" s="1"/>
      <c r="C191" s="1"/>
      <c r="D191" s="1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1"/>
      <c r="B192" s="1"/>
      <c r="C192" s="1"/>
      <c r="D192" s="1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1"/>
      <c r="B193" s="1"/>
      <c r="C193" s="1"/>
      <c r="D193" s="1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1"/>
      <c r="B194" s="1"/>
      <c r="C194" s="1"/>
      <c r="D194" s="1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1"/>
      <c r="B195" s="1"/>
      <c r="C195" s="1"/>
      <c r="D195" s="1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1"/>
      <c r="B196" s="1"/>
      <c r="C196" s="1"/>
      <c r="D196" s="1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1"/>
      <c r="B197" s="1"/>
      <c r="C197" s="1"/>
      <c r="D197" s="1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1"/>
      <c r="B198" s="1"/>
      <c r="C198" s="1"/>
      <c r="D198" s="1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47"/>
      <c r="U198" s="2"/>
      <c r="V198" s="74"/>
      <c r="W198" s="75"/>
      <c r="X198" s="75"/>
      <c r="Y198" s="8"/>
      <c r="Z198" s="8"/>
      <c r="AA198" s="8"/>
      <c r="AB198" s="8"/>
      <c r="AC198" s="8"/>
    </row>
    <row r="199">
      <c r="A199" s="1"/>
      <c r="B199" s="1"/>
      <c r="C199" s="1"/>
      <c r="D199" s="1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47"/>
      <c r="U199" s="2"/>
      <c r="V199" s="74"/>
      <c r="W199" s="75"/>
      <c r="X199" s="75"/>
      <c r="Y199" s="8"/>
      <c r="Z199" s="8"/>
      <c r="AA199" s="8"/>
      <c r="AB199" s="8"/>
      <c r="AC199" s="8"/>
    </row>
    <row r="200">
      <c r="A200" s="1"/>
      <c r="B200" s="1"/>
      <c r="C200" s="1"/>
      <c r="D200" s="1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47"/>
      <c r="U200" s="2"/>
      <c r="V200" s="74"/>
      <c r="W200" s="75"/>
      <c r="X200" s="75"/>
      <c r="Y200" s="8"/>
      <c r="Z200" s="8"/>
      <c r="AA200" s="8"/>
      <c r="AB200" s="8"/>
      <c r="AC200" s="8"/>
    </row>
    <row r="201">
      <c r="A201" s="1"/>
      <c r="B201" s="1"/>
      <c r="C201" s="1"/>
      <c r="D201" s="1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47"/>
      <c r="U201" s="2"/>
      <c r="V201" s="74"/>
      <c r="W201" s="75"/>
      <c r="X201" s="75"/>
      <c r="Y201" s="8"/>
      <c r="Z201" s="8"/>
      <c r="AA201" s="8"/>
      <c r="AB201" s="8"/>
      <c r="AC201" s="8"/>
    </row>
    <row r="202">
      <c r="A202" s="1"/>
      <c r="B202" s="1"/>
      <c r="C202" s="1"/>
      <c r="D202" s="1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47"/>
      <c r="U202" s="2"/>
      <c r="V202" s="74"/>
      <c r="W202" s="75"/>
      <c r="X202" s="75"/>
      <c r="Y202" s="8"/>
      <c r="Z202" s="8"/>
      <c r="AA202" s="8"/>
      <c r="AB202" s="8"/>
      <c r="AC202" s="8"/>
    </row>
    <row r="203">
      <c r="A203" s="1"/>
      <c r="B203" s="1"/>
      <c r="C203" s="1"/>
      <c r="D203" s="1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47"/>
      <c r="U203" s="2"/>
      <c r="V203" s="74"/>
      <c r="W203" s="75"/>
      <c r="X203" s="75"/>
      <c r="Y203" s="8"/>
      <c r="Z203" s="8"/>
      <c r="AA203" s="8"/>
      <c r="AB203" s="8"/>
      <c r="AC203" s="8"/>
    </row>
    <row r="204">
      <c r="A204" s="1"/>
      <c r="B204" s="1"/>
      <c r="C204" s="1"/>
      <c r="D204" s="1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47"/>
      <c r="U204" s="2"/>
      <c r="V204" s="74"/>
      <c r="W204" s="75"/>
      <c r="X204" s="75"/>
      <c r="Y204" s="8"/>
      <c r="Z204" s="8"/>
      <c r="AA204" s="8"/>
      <c r="AB204" s="8"/>
      <c r="AC204" s="8"/>
    </row>
    <row r="205">
      <c r="A205" s="1"/>
      <c r="B205" s="1"/>
      <c r="C205" s="1"/>
      <c r="D205" s="1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1"/>
      <c r="B206" s="1"/>
      <c r="C206" s="1"/>
      <c r="D206" s="1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1"/>
      <c r="B207" s="1"/>
      <c r="C207" s="1"/>
      <c r="D207" s="1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1"/>
      <c r="B208" s="1"/>
      <c r="C208" s="1"/>
      <c r="D208" s="1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1"/>
      <c r="B209" s="1"/>
      <c r="C209" s="1"/>
      <c r="D209" s="1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1"/>
      <c r="B210" s="1"/>
      <c r="C210" s="1"/>
      <c r="D210" s="1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1"/>
      <c r="B211" s="1"/>
      <c r="C211" s="1"/>
      <c r="D211" s="1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1"/>
      <c r="B212" s="1"/>
      <c r="C212" s="1"/>
      <c r="D212" s="1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1"/>
      <c r="B213" s="1"/>
      <c r="C213" s="1"/>
      <c r="D213" s="1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1"/>
      <c r="B214" s="1"/>
      <c r="C214" s="1"/>
      <c r="D214" s="1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1"/>
      <c r="B215" s="1"/>
      <c r="C215" s="1"/>
      <c r="D215" s="1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1"/>
      <c r="B216" s="1"/>
      <c r="C216" s="1"/>
      <c r="D216" s="1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1"/>
      <c r="B217" s="1"/>
      <c r="C217" s="1"/>
      <c r="D217" s="1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1"/>
      <c r="B218" s="1"/>
      <c r="C218" s="1"/>
      <c r="D218" s="1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1"/>
      <c r="B219" s="1"/>
      <c r="C219" s="1"/>
      <c r="D219" s="1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1"/>
      <c r="B220" s="1"/>
      <c r="C220" s="1"/>
      <c r="D220" s="1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1"/>
      <c r="B221" s="1"/>
      <c r="C221" s="1"/>
      <c r="D221" s="1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1"/>
      <c r="B222" s="1"/>
      <c r="C222" s="1"/>
      <c r="D222" s="1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1"/>
      <c r="B223" s="1"/>
      <c r="C223" s="1"/>
      <c r="D223" s="1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1"/>
      <c r="B224" s="1"/>
      <c r="C224" s="1"/>
      <c r="D224" s="1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1"/>
      <c r="B225" s="1"/>
      <c r="C225" s="1"/>
      <c r="D225" s="1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1"/>
      <c r="B226" s="1"/>
      <c r="C226" s="1"/>
      <c r="D226" s="1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1"/>
      <c r="B227" s="1"/>
      <c r="C227" s="1"/>
      <c r="D227" s="1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1"/>
      <c r="B228" s="1"/>
      <c r="C228" s="1"/>
      <c r="D228" s="1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1"/>
      <c r="B229" s="1"/>
      <c r="C229" s="1"/>
      <c r="D229" s="1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1"/>
      <c r="B230" s="1"/>
      <c r="C230" s="1"/>
      <c r="D230" s="1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1"/>
      <c r="B231" s="1"/>
      <c r="C231" s="1"/>
      <c r="D231" s="1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1"/>
      <c r="B232" s="1"/>
      <c r="C232" s="1"/>
      <c r="D232" s="1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1"/>
      <c r="B233" s="1"/>
      <c r="C233" s="1"/>
      <c r="D233" s="1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1"/>
      <c r="B234" s="1"/>
      <c r="C234" s="1"/>
      <c r="D234" s="1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1"/>
      <c r="B235" s="1"/>
      <c r="C235" s="1"/>
      <c r="D235" s="1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1"/>
      <c r="B236" s="1"/>
      <c r="C236" s="1"/>
      <c r="D236" s="1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1"/>
      <c r="B237" s="1"/>
      <c r="C237" s="1"/>
      <c r="D237" s="1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1"/>
      <c r="B238" s="1"/>
      <c r="C238" s="1"/>
      <c r="D238" s="1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1"/>
      <c r="B239" s="1"/>
      <c r="C239" s="1"/>
      <c r="D239" s="1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1"/>
      <c r="B240" s="1"/>
      <c r="C240" s="1"/>
      <c r="D240" s="1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1"/>
      <c r="B241" s="1"/>
      <c r="C241" s="1"/>
      <c r="D241" s="1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1"/>
      <c r="B242" s="1"/>
      <c r="C242" s="1"/>
      <c r="D242" s="1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1"/>
      <c r="B243" s="1"/>
      <c r="C243" s="1"/>
      <c r="D243" s="1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1"/>
      <c r="B244" s="1"/>
      <c r="C244" s="1"/>
      <c r="D244" s="1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1"/>
      <c r="B245" s="1"/>
      <c r="C245" s="1"/>
      <c r="D245" s="1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1"/>
      <c r="B246" s="1"/>
      <c r="C246" s="1"/>
      <c r="D246" s="1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1"/>
      <c r="B247" s="1"/>
      <c r="C247" s="1"/>
      <c r="D247" s="1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1"/>
      <c r="B248" s="1"/>
      <c r="C248" s="1"/>
      <c r="D248" s="1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1"/>
      <c r="B249" s="1"/>
      <c r="C249" s="1"/>
      <c r="D249" s="1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1"/>
      <c r="B250" s="1"/>
      <c r="C250" s="1"/>
      <c r="D250" s="1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1"/>
      <c r="B251" s="1"/>
      <c r="C251" s="1"/>
      <c r="D251" s="1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1"/>
      <c r="B252" s="1"/>
      <c r="C252" s="1"/>
      <c r="D252" s="1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1"/>
      <c r="B253" s="1"/>
      <c r="C253" s="1"/>
      <c r="D253" s="1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1"/>
      <c r="B254" s="1"/>
      <c r="C254" s="1"/>
      <c r="D254" s="1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1"/>
      <c r="B255" s="1"/>
      <c r="C255" s="1"/>
      <c r="D255" s="1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1"/>
      <c r="B256" s="1"/>
      <c r="C256" s="1"/>
      <c r="D256" s="1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1"/>
      <c r="B257" s="1"/>
      <c r="C257" s="1"/>
      <c r="D257" s="1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1"/>
      <c r="B258" s="1"/>
      <c r="C258" s="1"/>
      <c r="D258" s="1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1"/>
      <c r="B259" s="1"/>
      <c r="C259" s="1"/>
      <c r="D259" s="1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1"/>
      <c r="B260" s="1"/>
      <c r="C260" s="1"/>
      <c r="D260" s="1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1"/>
      <c r="B261" s="1"/>
      <c r="C261" s="1"/>
      <c r="D261" s="1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1"/>
      <c r="B262" s="1"/>
      <c r="C262" s="1"/>
      <c r="D262" s="1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1"/>
      <c r="B263" s="1"/>
      <c r="C263" s="1"/>
      <c r="D263" s="1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1"/>
      <c r="B264" s="1"/>
      <c r="C264" s="1"/>
      <c r="D264" s="1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1"/>
      <c r="B265" s="1"/>
      <c r="C265" s="1"/>
      <c r="D265" s="1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1"/>
      <c r="B266" s="1"/>
      <c r="C266" s="1"/>
      <c r="D266" s="1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1"/>
      <c r="B267" s="1"/>
      <c r="C267" s="1"/>
      <c r="D267" s="1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1"/>
      <c r="B268" s="1"/>
      <c r="C268" s="1"/>
      <c r="D268" s="1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1"/>
      <c r="B269" s="1"/>
      <c r="C269" s="1"/>
      <c r="D269" s="1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1"/>
      <c r="B270" s="1"/>
      <c r="C270" s="1"/>
      <c r="D270" s="1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1"/>
      <c r="B271" s="1"/>
      <c r="C271" s="1"/>
      <c r="D271" s="1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1"/>
      <c r="B272" s="1"/>
      <c r="C272" s="1"/>
      <c r="D272" s="1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1"/>
      <c r="B273" s="1"/>
      <c r="C273" s="1"/>
      <c r="D273" s="1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1"/>
      <c r="B274" s="1"/>
      <c r="C274" s="1"/>
      <c r="D274" s="1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1"/>
      <c r="B275" s="1"/>
      <c r="C275" s="1"/>
      <c r="D275" s="1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1"/>
      <c r="B276" s="1"/>
      <c r="C276" s="1"/>
      <c r="D276" s="1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1"/>
      <c r="B277" s="1"/>
      <c r="C277" s="1"/>
      <c r="D277" s="1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1"/>
      <c r="B278" s="1"/>
      <c r="C278" s="1"/>
      <c r="D278" s="1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1"/>
      <c r="B279" s="1"/>
      <c r="C279" s="1"/>
      <c r="D279" s="1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1"/>
      <c r="B280" s="1"/>
      <c r="C280" s="1"/>
      <c r="D280" s="1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1"/>
      <c r="B281" s="1"/>
      <c r="C281" s="1"/>
      <c r="D281" s="1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1"/>
      <c r="B282" s="1"/>
      <c r="C282" s="1"/>
      <c r="D282" s="1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1"/>
      <c r="B283" s="1"/>
      <c r="C283" s="1"/>
      <c r="D283" s="1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1"/>
      <c r="B284" s="1"/>
      <c r="C284" s="1"/>
      <c r="D284" s="1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1"/>
      <c r="B285" s="1"/>
      <c r="C285" s="1"/>
      <c r="D285" s="1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1"/>
      <c r="B286" s="1"/>
      <c r="C286" s="1"/>
      <c r="D286" s="1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1"/>
      <c r="B287" s="1"/>
      <c r="C287" s="1"/>
      <c r="D287" s="1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1"/>
      <c r="B288" s="1"/>
      <c r="C288" s="1"/>
      <c r="D288" s="1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1"/>
      <c r="B289" s="1"/>
      <c r="C289" s="1"/>
      <c r="D289" s="1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1"/>
      <c r="B290" s="1"/>
      <c r="C290" s="1"/>
      <c r="D290" s="1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1"/>
      <c r="B291" s="1"/>
      <c r="C291" s="1"/>
      <c r="D291" s="1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1"/>
      <c r="B292" s="1"/>
      <c r="C292" s="1"/>
      <c r="D292" s="1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1"/>
      <c r="B293" s="1"/>
      <c r="C293" s="1"/>
      <c r="D293" s="1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1"/>
      <c r="B294" s="1"/>
      <c r="C294" s="1"/>
      <c r="D294" s="1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1"/>
      <c r="B295" s="1"/>
      <c r="C295" s="1"/>
      <c r="D295" s="1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1"/>
      <c r="B296" s="1"/>
      <c r="C296" s="1"/>
      <c r="D296" s="1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1"/>
      <c r="B297" s="1"/>
      <c r="C297" s="1"/>
      <c r="D297" s="1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1"/>
      <c r="B298" s="1"/>
      <c r="C298" s="1"/>
      <c r="D298" s="1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1"/>
      <c r="B299" s="1"/>
      <c r="C299" s="1"/>
      <c r="D299" s="1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1"/>
      <c r="B300" s="1"/>
      <c r="C300" s="1"/>
      <c r="D300" s="1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1"/>
      <c r="B301" s="1"/>
      <c r="C301" s="1"/>
      <c r="D301" s="1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1"/>
      <c r="B302" s="1"/>
      <c r="C302" s="1"/>
      <c r="D302" s="1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1"/>
      <c r="B303" s="1"/>
      <c r="C303" s="1"/>
      <c r="D303" s="1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1"/>
      <c r="B304" s="1"/>
      <c r="C304" s="1"/>
      <c r="D304" s="1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1"/>
      <c r="B305" s="1"/>
      <c r="C305" s="1"/>
      <c r="D305" s="1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1"/>
      <c r="B306" s="1"/>
      <c r="C306" s="1"/>
      <c r="D306" s="1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1"/>
      <c r="B307" s="1"/>
      <c r="C307" s="1"/>
      <c r="D307" s="1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1"/>
      <c r="B308" s="1"/>
      <c r="C308" s="1"/>
      <c r="D308" s="1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1"/>
      <c r="B309" s="1"/>
      <c r="C309" s="1"/>
      <c r="D309" s="1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1"/>
      <c r="B310" s="1"/>
      <c r="C310" s="1"/>
      <c r="D310" s="1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1"/>
      <c r="B311" s="1"/>
      <c r="C311" s="1"/>
      <c r="D311" s="1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1"/>
      <c r="B312" s="1"/>
      <c r="C312" s="1"/>
      <c r="D312" s="1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1"/>
      <c r="B313" s="1"/>
      <c r="C313" s="1"/>
      <c r="D313" s="1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1"/>
      <c r="B314" s="1"/>
      <c r="C314" s="1"/>
      <c r="D314" s="1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1"/>
      <c r="B315" s="1"/>
      <c r="C315" s="1"/>
      <c r="D315" s="1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1"/>
      <c r="B316" s="1"/>
      <c r="C316" s="1"/>
      <c r="D316" s="1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1"/>
      <c r="B317" s="1"/>
      <c r="C317" s="1"/>
      <c r="D317" s="1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1"/>
      <c r="B318" s="1"/>
      <c r="C318" s="1"/>
      <c r="D318" s="1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1"/>
      <c r="B319" s="1"/>
      <c r="C319" s="1"/>
      <c r="D319" s="1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1"/>
      <c r="B320" s="1"/>
      <c r="C320" s="1"/>
      <c r="D320" s="1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1"/>
      <c r="B321" s="1"/>
      <c r="C321" s="1"/>
      <c r="D321" s="1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1"/>
      <c r="B322" s="1"/>
      <c r="C322" s="1"/>
      <c r="D322" s="1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1"/>
      <c r="B323" s="1"/>
      <c r="C323" s="1"/>
      <c r="D323" s="1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1"/>
      <c r="B324" s="1"/>
      <c r="C324" s="1"/>
      <c r="D324" s="1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1"/>
      <c r="B325" s="1"/>
      <c r="C325" s="1"/>
      <c r="D325" s="1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1"/>
      <c r="B326" s="1"/>
      <c r="C326" s="1"/>
      <c r="D326" s="1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1"/>
      <c r="B327" s="1"/>
      <c r="C327" s="1"/>
      <c r="D327" s="1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1"/>
      <c r="B328" s="1"/>
      <c r="C328" s="1"/>
      <c r="D328" s="1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1"/>
      <c r="B329" s="1"/>
      <c r="C329" s="1"/>
      <c r="D329" s="1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1"/>
      <c r="B330" s="1"/>
      <c r="C330" s="1"/>
      <c r="D330" s="1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1"/>
      <c r="B331" s="1"/>
      <c r="C331" s="1"/>
      <c r="D331" s="1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1"/>
      <c r="B332" s="1"/>
      <c r="C332" s="1"/>
      <c r="D332" s="1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1"/>
      <c r="B333" s="1"/>
      <c r="C333" s="1"/>
      <c r="D333" s="1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1"/>
      <c r="B334" s="1"/>
      <c r="C334" s="1"/>
      <c r="D334" s="1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1"/>
      <c r="B335" s="1"/>
      <c r="C335" s="1"/>
      <c r="D335" s="1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1"/>
      <c r="B336" s="1"/>
      <c r="C336" s="1"/>
      <c r="D336" s="1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1"/>
      <c r="B337" s="1"/>
      <c r="C337" s="1"/>
      <c r="D337" s="1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1"/>
      <c r="B338" s="1"/>
      <c r="C338" s="1"/>
      <c r="D338" s="1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1"/>
      <c r="B339" s="1"/>
      <c r="C339" s="1"/>
      <c r="D339" s="1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1"/>
      <c r="B340" s="1"/>
      <c r="C340" s="1"/>
      <c r="D340" s="1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1"/>
      <c r="B341" s="1"/>
      <c r="C341" s="1"/>
      <c r="D341" s="1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1"/>
      <c r="B342" s="1"/>
      <c r="C342" s="1"/>
      <c r="D342" s="1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1"/>
      <c r="B343" s="1"/>
      <c r="C343" s="1"/>
      <c r="D343" s="1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1"/>
      <c r="B344" s="1"/>
      <c r="C344" s="1"/>
      <c r="D344" s="1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1"/>
      <c r="B345" s="1"/>
      <c r="C345" s="1"/>
      <c r="D345" s="1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1"/>
      <c r="B346" s="1"/>
      <c r="C346" s="1"/>
      <c r="D346" s="1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1"/>
      <c r="B347" s="1"/>
      <c r="C347" s="1"/>
      <c r="D347" s="1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1"/>
      <c r="B348" s="1"/>
      <c r="C348" s="1"/>
      <c r="D348" s="1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1"/>
      <c r="B349" s="1"/>
      <c r="C349" s="1"/>
      <c r="D349" s="1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1"/>
      <c r="B350" s="1"/>
      <c r="C350" s="1"/>
      <c r="D350" s="1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1"/>
      <c r="B351" s="1"/>
      <c r="C351" s="1"/>
      <c r="D351" s="1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1"/>
      <c r="B352" s="1"/>
      <c r="C352" s="1"/>
      <c r="D352" s="1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1"/>
      <c r="B353" s="1"/>
      <c r="C353" s="1"/>
      <c r="D353" s="1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1"/>
      <c r="B354" s="1"/>
      <c r="C354" s="1"/>
      <c r="D354" s="1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1"/>
      <c r="B355" s="1"/>
      <c r="C355" s="1"/>
      <c r="D355" s="1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1"/>
      <c r="B356" s="1"/>
      <c r="C356" s="1"/>
      <c r="D356" s="1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1"/>
      <c r="B357" s="1"/>
      <c r="C357" s="1"/>
      <c r="D357" s="1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1"/>
      <c r="B358" s="1"/>
      <c r="C358" s="1"/>
      <c r="D358" s="1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1"/>
      <c r="B359" s="1"/>
      <c r="C359" s="1"/>
      <c r="D359" s="1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1"/>
      <c r="B360" s="1"/>
      <c r="C360" s="1"/>
      <c r="D360" s="1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1"/>
      <c r="B361" s="1"/>
      <c r="C361" s="1"/>
      <c r="D361" s="1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1"/>
      <c r="B362" s="1"/>
      <c r="C362" s="1"/>
      <c r="D362" s="1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1"/>
      <c r="B363" s="1"/>
      <c r="C363" s="1"/>
      <c r="D363" s="1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1"/>
      <c r="B364" s="1"/>
      <c r="C364" s="1"/>
      <c r="D364" s="1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1"/>
      <c r="B365" s="1"/>
      <c r="C365" s="1"/>
      <c r="D365" s="1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1"/>
      <c r="B366" s="1"/>
      <c r="C366" s="1"/>
      <c r="D366" s="1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ht="15.75" customHeight="1">
      <c r="A367" s="1"/>
      <c r="B367" s="1"/>
      <c r="C367" s="1"/>
      <c r="D367" s="1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ht="15.75" customHeight="1">
      <c r="A368" s="1"/>
      <c r="B368" s="1"/>
      <c r="C368" s="1"/>
      <c r="D368" s="1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ht="15.75" customHeight="1">
      <c r="A369" s="1"/>
      <c r="B369" s="1"/>
      <c r="C369" s="1"/>
      <c r="D369" s="1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ht="15.75" customHeight="1">
      <c r="A370" s="1"/>
      <c r="B370" s="1"/>
      <c r="C370" s="1"/>
      <c r="D370" s="1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ht="15.75" customHeight="1">
      <c r="A371" s="1"/>
      <c r="B371" s="1"/>
      <c r="C371" s="1"/>
      <c r="D371" s="1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1"/>
      <c r="B372" s="1"/>
      <c r="C372" s="1"/>
      <c r="D372" s="1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1"/>
      <c r="B373" s="1"/>
      <c r="C373" s="1"/>
      <c r="D373" s="1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1"/>
      <c r="B374" s="1"/>
      <c r="C374" s="1"/>
      <c r="D374" s="1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1"/>
      <c r="B375" s="1"/>
      <c r="C375" s="1"/>
      <c r="D375" s="1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ht="15.75" customHeight="1">
      <c r="A376" s="1"/>
      <c r="B376" s="1"/>
      <c r="C376" s="1"/>
      <c r="D376" s="1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ht="15.75" customHeight="1">
      <c r="A377" s="1"/>
      <c r="B377" s="1"/>
      <c r="C377" s="1"/>
      <c r="D377" s="1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ht="15.75" customHeight="1">
      <c r="A378" s="1"/>
      <c r="B378" s="1"/>
      <c r="C378" s="1"/>
      <c r="D378" s="1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ht="15.75" customHeight="1">
      <c r="A379" s="1"/>
      <c r="B379" s="1"/>
      <c r="C379" s="1"/>
      <c r="D379" s="1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ht="15.75" customHeight="1">
      <c r="A380" s="1"/>
      <c r="B380" s="1"/>
      <c r="C380" s="1"/>
      <c r="D380" s="1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ht="15.75" customHeight="1">
      <c r="A381" s="1"/>
      <c r="B381" s="1"/>
      <c r="C381" s="1"/>
      <c r="D381" s="1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ht="15.75" customHeight="1">
      <c r="A382" s="1"/>
      <c r="B382" s="1"/>
      <c r="C382" s="1"/>
      <c r="D382" s="1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ht="15.75" customHeight="1">
      <c r="A383" s="1"/>
      <c r="B383" s="1"/>
      <c r="C383" s="1"/>
      <c r="D383" s="1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ht="15.75" customHeight="1">
      <c r="A384" s="1"/>
      <c r="B384" s="1"/>
      <c r="C384" s="1"/>
      <c r="D384" s="1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1"/>
      <c r="B385" s="1"/>
      <c r="C385" s="1"/>
      <c r="D385" s="1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ht="15.75" customHeight="1">
      <c r="A386" s="1"/>
      <c r="B386" s="1"/>
      <c r="C386" s="1"/>
      <c r="D386" s="1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ht="15.75" customHeight="1">
      <c r="A387" s="1"/>
      <c r="B387" s="1"/>
      <c r="C387" s="1"/>
      <c r="D387" s="1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1"/>
      <c r="B388" s="1"/>
      <c r="C388" s="1"/>
      <c r="D388" s="1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1"/>
      <c r="B389" s="1"/>
      <c r="C389" s="1"/>
      <c r="D389" s="1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1"/>
      <c r="B390" s="1"/>
      <c r="C390" s="1"/>
      <c r="D390" s="1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1"/>
      <c r="B391" s="1"/>
      <c r="C391" s="1"/>
      <c r="D391" s="1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1"/>
      <c r="B392" s="1"/>
      <c r="C392" s="1"/>
      <c r="D392" s="1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1"/>
      <c r="B393" s="1"/>
      <c r="C393" s="1"/>
      <c r="D393" s="1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1"/>
      <c r="B394" s="1"/>
      <c r="C394" s="1"/>
      <c r="D394" s="1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1"/>
      <c r="B395" s="1"/>
      <c r="C395" s="1"/>
      <c r="D395" s="1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1"/>
      <c r="B396" s="1"/>
      <c r="C396" s="1"/>
      <c r="D396" s="1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1"/>
      <c r="B397" s="1"/>
      <c r="C397" s="1"/>
      <c r="D397" s="1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ht="15.75" customHeight="1">
      <c r="A398" s="1"/>
      <c r="B398" s="1"/>
      <c r="C398" s="1"/>
      <c r="D398" s="1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ht="15.75" customHeight="1">
      <c r="A399" s="1"/>
      <c r="B399" s="1"/>
      <c r="C399" s="1"/>
      <c r="D399" s="1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ht="15.75" customHeight="1">
      <c r="A400" s="1"/>
      <c r="B400" s="1"/>
      <c r="C400" s="1"/>
      <c r="D400" s="1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ht="15.75" customHeight="1">
      <c r="A401" s="1"/>
      <c r="B401" s="1"/>
      <c r="C401" s="1"/>
      <c r="D401" s="1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ht="15.75" customHeight="1">
      <c r="A402" s="1"/>
      <c r="B402" s="1"/>
      <c r="C402" s="1"/>
      <c r="D402" s="1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ht="15.75" customHeight="1">
      <c r="A403" s="1"/>
      <c r="B403" s="1"/>
      <c r="C403" s="1"/>
      <c r="D403" s="1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ht="15.75" customHeight="1">
      <c r="A404" s="1"/>
      <c r="B404" s="1"/>
      <c r="C404" s="1"/>
      <c r="D404" s="1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ht="15.75" customHeight="1">
      <c r="A405" s="1"/>
      <c r="B405" s="1"/>
      <c r="C405" s="1"/>
      <c r="D405" s="1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ht="15.75" customHeight="1">
      <c r="A406" s="1"/>
      <c r="B406" s="1"/>
      <c r="C406" s="1"/>
      <c r="D406" s="1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ht="15.75" customHeight="1">
      <c r="A407" s="1"/>
      <c r="B407" s="1"/>
      <c r="C407" s="1"/>
      <c r="D407" s="1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ht="15.75" customHeight="1">
      <c r="A408" s="1"/>
      <c r="B408" s="1"/>
      <c r="C408" s="1"/>
      <c r="D408" s="1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ht="15.75" customHeight="1">
      <c r="A409" s="1"/>
      <c r="B409" s="1"/>
      <c r="C409" s="1"/>
      <c r="D409" s="1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ht="15.75" customHeight="1">
      <c r="A410" s="1"/>
      <c r="B410" s="1"/>
      <c r="C410" s="1"/>
      <c r="D410" s="1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ht="15.75" customHeight="1">
      <c r="A411" s="1"/>
      <c r="B411" s="1"/>
      <c r="C411" s="1"/>
      <c r="D411" s="1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ht="15.75" customHeight="1">
      <c r="A412" s="1"/>
      <c r="B412" s="1"/>
      <c r="C412" s="1"/>
      <c r="D412" s="1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ht="15.75" customHeight="1">
      <c r="A413" s="1"/>
      <c r="B413" s="1"/>
      <c r="C413" s="1"/>
      <c r="D413" s="1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ht="15.75" customHeight="1">
      <c r="A414" s="1"/>
      <c r="B414" s="1"/>
      <c r="C414" s="1"/>
      <c r="D414" s="1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ht="15.75" customHeight="1">
      <c r="A415" s="1"/>
      <c r="B415" s="1"/>
      <c r="C415" s="1"/>
      <c r="D415" s="1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ht="15.75" customHeight="1">
      <c r="A416" s="1"/>
      <c r="B416" s="1"/>
      <c r="C416" s="1"/>
      <c r="D416" s="1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ht="15.75" customHeight="1">
      <c r="A417" s="1"/>
      <c r="B417" s="1"/>
      <c r="C417" s="1"/>
      <c r="D417" s="1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ht="15.75" customHeight="1">
      <c r="A418" s="1"/>
      <c r="B418" s="1"/>
      <c r="C418" s="1"/>
      <c r="D418" s="1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ht="15.75" customHeight="1">
      <c r="A419" s="1"/>
      <c r="B419" s="1"/>
      <c r="C419" s="1"/>
      <c r="D419" s="1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ht="15.75" customHeight="1">
      <c r="A420" s="1"/>
      <c r="B420" s="1"/>
      <c r="C420" s="1"/>
      <c r="D420" s="1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ht="15.75" customHeight="1">
      <c r="A421" s="1"/>
      <c r="B421" s="1"/>
      <c r="C421" s="1"/>
      <c r="D421" s="1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ht="15.75" customHeight="1">
      <c r="A422" s="1"/>
      <c r="B422" s="1"/>
      <c r="C422" s="1"/>
      <c r="D422" s="1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ht="15.75" customHeight="1">
      <c r="A423" s="1"/>
      <c r="B423" s="1"/>
      <c r="C423" s="1"/>
      <c r="D423" s="1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ht="15.75" customHeight="1">
      <c r="A424" s="1"/>
      <c r="B424" s="1"/>
      <c r="C424" s="1"/>
      <c r="D424" s="1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ht="15.75" customHeight="1">
      <c r="A425" s="1"/>
      <c r="B425" s="1"/>
      <c r="C425" s="1"/>
      <c r="D425" s="1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ht="15.75" customHeight="1">
      <c r="A426" s="1"/>
      <c r="B426" s="1"/>
      <c r="C426" s="1"/>
      <c r="D426" s="1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ht="15.75" customHeight="1">
      <c r="A427" s="1"/>
      <c r="B427" s="1"/>
      <c r="C427" s="1"/>
      <c r="D427" s="1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ht="15.75" customHeight="1">
      <c r="A428" s="1"/>
      <c r="B428" s="1"/>
      <c r="C428" s="1"/>
      <c r="D428" s="1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ht="15.75" customHeight="1">
      <c r="A429" s="1"/>
      <c r="B429" s="1"/>
      <c r="C429" s="1"/>
      <c r="D429" s="1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ht="15.75" customHeight="1">
      <c r="A430" s="1"/>
      <c r="B430" s="1"/>
      <c r="C430" s="1"/>
      <c r="D430" s="1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ht="15.75" customHeight="1">
      <c r="A431" s="1"/>
      <c r="B431" s="1"/>
      <c r="C431" s="1"/>
      <c r="D431" s="1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ht="15.75" customHeight="1">
      <c r="A432" s="1"/>
      <c r="B432" s="1"/>
      <c r="C432" s="1"/>
      <c r="D432" s="1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ht="15.75" customHeight="1">
      <c r="A433" s="1"/>
      <c r="B433" s="1"/>
      <c r="C433" s="1"/>
      <c r="D433" s="1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ht="15.75" customHeight="1">
      <c r="A434" s="1"/>
      <c r="B434" s="1"/>
      <c r="C434" s="1"/>
      <c r="D434" s="1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ht="15.75" customHeight="1">
      <c r="A435" s="1"/>
      <c r="B435" s="1"/>
      <c r="C435" s="1"/>
      <c r="D435" s="1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ht="15.75" customHeight="1">
      <c r="A436" s="1"/>
      <c r="B436" s="1"/>
      <c r="C436" s="1"/>
      <c r="D436" s="1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ht="15.75" customHeight="1">
      <c r="A437" s="1"/>
      <c r="B437" s="1"/>
      <c r="C437" s="1"/>
      <c r="D437" s="1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ht="15.75" customHeight="1">
      <c r="A438" s="1"/>
      <c r="B438" s="1"/>
      <c r="C438" s="1"/>
      <c r="D438" s="1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ht="15.75" customHeight="1">
      <c r="A439" s="1"/>
      <c r="B439" s="1"/>
      <c r="C439" s="1"/>
      <c r="D439" s="1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ht="15.75" customHeight="1">
      <c r="A440" s="1"/>
      <c r="B440" s="1"/>
      <c r="C440" s="1"/>
      <c r="D440" s="1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ht="15.75" customHeight="1">
      <c r="A441" s="1"/>
      <c r="B441" s="1"/>
      <c r="C441" s="1"/>
      <c r="D441" s="1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ht="15.75" customHeight="1">
      <c r="A442" s="1"/>
      <c r="B442" s="1"/>
      <c r="C442" s="1"/>
      <c r="D442" s="1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ht="15.75" customHeight="1">
      <c r="A443" s="1"/>
      <c r="B443" s="1"/>
      <c r="C443" s="1"/>
      <c r="D443" s="1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ht="15.75" customHeight="1">
      <c r="A444" s="1"/>
      <c r="B444" s="1"/>
      <c r="C444" s="1"/>
      <c r="D444" s="1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ht="15.75" customHeight="1">
      <c r="A445" s="1"/>
      <c r="B445" s="1"/>
      <c r="C445" s="1"/>
      <c r="D445" s="1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ht="15.75" customHeight="1">
      <c r="A446" s="1"/>
      <c r="B446" s="1"/>
      <c r="C446" s="1"/>
      <c r="D446" s="1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ht="15.75" customHeight="1">
      <c r="A447" s="1"/>
      <c r="B447" s="1"/>
      <c r="C447" s="1"/>
      <c r="D447" s="1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ht="15.75" customHeight="1">
      <c r="A448" s="1"/>
      <c r="B448" s="1"/>
      <c r="C448" s="1"/>
      <c r="D448" s="1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ht="15.75" customHeight="1">
      <c r="A449" s="1"/>
      <c r="B449" s="1"/>
      <c r="C449" s="1"/>
      <c r="D449" s="1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ht="15.75" customHeight="1">
      <c r="A450" s="1"/>
      <c r="B450" s="1"/>
      <c r="C450" s="1"/>
      <c r="D450" s="1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ht="15.75" customHeight="1">
      <c r="A451" s="1"/>
      <c r="B451" s="1"/>
      <c r="C451" s="1"/>
      <c r="D451" s="1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ht="15.75" customHeight="1">
      <c r="A452" s="1"/>
      <c r="B452" s="1"/>
      <c r="C452" s="1"/>
      <c r="D452" s="1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ht="15.75" customHeight="1">
      <c r="A453" s="1"/>
      <c r="B453" s="1"/>
      <c r="C453" s="1"/>
      <c r="D453" s="1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ht="15.75" customHeight="1">
      <c r="A454" s="1"/>
      <c r="B454" s="1"/>
      <c r="C454" s="1"/>
      <c r="D454" s="1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ht="15.75" customHeight="1">
      <c r="A455" s="1"/>
      <c r="B455" s="1"/>
      <c r="C455" s="1"/>
      <c r="D455" s="1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ht="15.75" customHeight="1">
      <c r="A456" s="1"/>
      <c r="B456" s="1"/>
      <c r="C456" s="1"/>
      <c r="D456" s="1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ht="15.75" customHeight="1">
      <c r="A457" s="1"/>
      <c r="B457" s="1"/>
      <c r="C457" s="1"/>
      <c r="D457" s="1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ht="15.75" customHeight="1">
      <c r="A458" s="1"/>
      <c r="B458" s="1"/>
      <c r="C458" s="1"/>
      <c r="D458" s="1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ht="15.75" customHeight="1">
      <c r="A459" s="1"/>
      <c r="B459" s="1"/>
      <c r="C459" s="1"/>
      <c r="D459" s="1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ht="15.75" customHeight="1">
      <c r="A460" s="1"/>
      <c r="B460" s="1"/>
      <c r="C460" s="1"/>
      <c r="D460" s="1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ht="15.75" customHeight="1">
      <c r="A461" s="1"/>
      <c r="B461" s="1"/>
      <c r="C461" s="1"/>
      <c r="D461" s="1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ht="15.75" customHeight="1">
      <c r="A462" s="1"/>
      <c r="B462" s="1"/>
      <c r="C462" s="1"/>
      <c r="D462" s="1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ht="15.75" customHeight="1">
      <c r="A463" s="1"/>
      <c r="B463" s="1"/>
      <c r="C463" s="1"/>
      <c r="D463" s="1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ht="15.75" customHeight="1">
      <c r="A464" s="1"/>
      <c r="B464" s="1"/>
      <c r="C464" s="1"/>
      <c r="D464" s="1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ht="15.75" customHeight="1">
      <c r="A465" s="1"/>
      <c r="B465" s="1"/>
      <c r="C465" s="1"/>
      <c r="D465" s="1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ht="15.75" customHeight="1">
      <c r="A466" s="1"/>
      <c r="B466" s="1"/>
      <c r="C466" s="1"/>
      <c r="D466" s="1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ht="15.75" customHeight="1">
      <c r="A467" s="1"/>
      <c r="B467" s="1"/>
      <c r="C467" s="1"/>
      <c r="D467" s="1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ht="15.75" customHeight="1">
      <c r="A468" s="1"/>
      <c r="B468" s="1"/>
      <c r="C468" s="1"/>
      <c r="D468" s="1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ht="15.75" customHeight="1">
      <c r="A469" s="1"/>
      <c r="B469" s="1"/>
      <c r="C469" s="1"/>
      <c r="D469" s="1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ht="15.75" customHeight="1">
      <c r="A470" s="1"/>
      <c r="B470" s="1"/>
      <c r="C470" s="1"/>
      <c r="D470" s="1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ht="15.75" customHeight="1">
      <c r="A471" s="1"/>
      <c r="B471" s="1"/>
      <c r="C471" s="1"/>
      <c r="D471" s="1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ht="15.75" customHeight="1">
      <c r="A472" s="1"/>
      <c r="B472" s="1"/>
      <c r="C472" s="1"/>
      <c r="D472" s="1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ht="15.75" customHeight="1">
      <c r="A473" s="1"/>
      <c r="B473" s="1"/>
      <c r="C473" s="1"/>
      <c r="D473" s="1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ht="15.75" customHeight="1">
      <c r="A474" s="1"/>
      <c r="B474" s="1"/>
      <c r="C474" s="1"/>
      <c r="D474" s="1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ht="15.75" customHeight="1">
      <c r="A475" s="1"/>
      <c r="B475" s="1"/>
      <c r="C475" s="1"/>
      <c r="D475" s="1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ht="15.75" customHeight="1">
      <c r="A476" s="1"/>
      <c r="B476" s="1"/>
      <c r="C476" s="1"/>
      <c r="D476" s="1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ht="15.75" customHeight="1">
      <c r="A477" s="1"/>
      <c r="B477" s="1"/>
      <c r="C477" s="1"/>
      <c r="D477" s="1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ht="15.75" customHeight="1">
      <c r="A478" s="1"/>
      <c r="B478" s="1"/>
      <c r="C478" s="1"/>
      <c r="D478" s="1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ht="15.75" customHeight="1">
      <c r="A479" s="1"/>
      <c r="B479" s="1"/>
      <c r="C479" s="1"/>
      <c r="D479" s="1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ht="15.75" customHeight="1">
      <c r="A480" s="1"/>
      <c r="B480" s="1"/>
      <c r="C480" s="1"/>
      <c r="D480" s="1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ht="15.75" customHeight="1">
      <c r="A481" s="1"/>
      <c r="B481" s="1"/>
      <c r="C481" s="1"/>
      <c r="D481" s="1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ht="15.75" customHeight="1">
      <c r="A482" s="1"/>
      <c r="B482" s="1"/>
      <c r="C482" s="1"/>
      <c r="D482" s="1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ht="15.75" customHeight="1">
      <c r="A483" s="1"/>
      <c r="B483" s="1"/>
      <c r="C483" s="1"/>
      <c r="D483" s="1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ht="15.75" customHeight="1">
      <c r="A484" s="1"/>
      <c r="B484" s="1"/>
      <c r="C484" s="1"/>
      <c r="D484" s="1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ht="15.75" customHeight="1">
      <c r="A485" s="1"/>
      <c r="B485" s="1"/>
      <c r="C485" s="1"/>
      <c r="D485" s="1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ht="15.75" customHeight="1">
      <c r="A486" s="1"/>
      <c r="B486" s="1"/>
      <c r="C486" s="1"/>
      <c r="D486" s="1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ht="15.75" customHeight="1">
      <c r="A487" s="1"/>
      <c r="B487" s="1"/>
      <c r="C487" s="1"/>
      <c r="D487" s="1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ht="15.75" customHeight="1">
      <c r="A488" s="1"/>
      <c r="B488" s="1"/>
      <c r="C488" s="1"/>
      <c r="D488" s="1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ht="15.75" customHeight="1">
      <c r="A489" s="1"/>
      <c r="B489" s="1"/>
      <c r="C489" s="1"/>
      <c r="D489" s="1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ht="15.75" customHeight="1">
      <c r="A490" s="1"/>
      <c r="B490" s="1"/>
      <c r="C490" s="1"/>
      <c r="D490" s="1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ht="15.75" customHeight="1">
      <c r="A491" s="1"/>
      <c r="B491" s="1"/>
      <c r="C491" s="1"/>
      <c r="D491" s="1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ht="15.75" customHeight="1">
      <c r="A492" s="1"/>
      <c r="B492" s="1"/>
      <c r="C492" s="1"/>
      <c r="D492" s="1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ht="15.75" customHeight="1">
      <c r="A493" s="1"/>
      <c r="B493" s="1"/>
      <c r="C493" s="1"/>
      <c r="D493" s="1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ht="15.75" customHeight="1">
      <c r="A494" s="1"/>
      <c r="B494" s="1"/>
      <c r="C494" s="1"/>
      <c r="D494" s="1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ht="15.75" customHeight="1">
      <c r="A495" s="1"/>
      <c r="B495" s="1"/>
      <c r="C495" s="1"/>
      <c r="D495" s="1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ht="15.75" customHeight="1">
      <c r="A496" s="1"/>
      <c r="B496" s="1"/>
      <c r="C496" s="1"/>
      <c r="D496" s="1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ht="15.75" customHeight="1">
      <c r="A497" s="1"/>
      <c r="B497" s="1"/>
      <c r="C497" s="1"/>
      <c r="D497" s="1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ht="15.75" customHeight="1">
      <c r="A498" s="1"/>
      <c r="B498" s="1"/>
      <c r="C498" s="1"/>
      <c r="D498" s="1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ht="15.75" customHeight="1">
      <c r="A499" s="1"/>
      <c r="B499" s="1"/>
      <c r="C499" s="1"/>
      <c r="D499" s="1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ht="15.75" customHeight="1">
      <c r="A500" s="1"/>
      <c r="B500" s="1"/>
      <c r="C500" s="1"/>
      <c r="D500" s="1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ht="15.75" customHeight="1">
      <c r="A501" s="1"/>
      <c r="B501" s="1"/>
      <c r="C501" s="1"/>
      <c r="D501" s="1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ht="15.75" customHeight="1">
      <c r="A502" s="1"/>
      <c r="B502" s="1"/>
      <c r="C502" s="1"/>
      <c r="D502" s="1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ht="15.75" customHeight="1">
      <c r="A503" s="1"/>
      <c r="B503" s="1"/>
      <c r="C503" s="1"/>
      <c r="D503" s="1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ht="15.75" customHeight="1">
      <c r="A504" s="1"/>
      <c r="B504" s="1"/>
      <c r="C504" s="1"/>
      <c r="D504" s="1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ht="15.75" customHeight="1">
      <c r="A505" s="1"/>
      <c r="B505" s="1"/>
      <c r="C505" s="1"/>
      <c r="D505" s="1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ht="15.75" customHeight="1">
      <c r="A506" s="1"/>
      <c r="B506" s="1"/>
      <c r="C506" s="1"/>
      <c r="D506" s="1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ht="15.75" customHeight="1">
      <c r="A507" s="1"/>
      <c r="B507" s="1"/>
      <c r="C507" s="1"/>
      <c r="D507" s="1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ht="15.75" customHeight="1">
      <c r="A508" s="1"/>
      <c r="B508" s="1"/>
      <c r="C508" s="1"/>
      <c r="D508" s="1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ht="15.75" customHeight="1">
      <c r="A509" s="1"/>
      <c r="B509" s="1"/>
      <c r="C509" s="1"/>
      <c r="D509" s="1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ht="15.75" customHeight="1">
      <c r="A510" s="1"/>
      <c r="B510" s="1"/>
      <c r="C510" s="1"/>
      <c r="D510" s="1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ht="15.75" customHeight="1">
      <c r="A511" s="1"/>
      <c r="B511" s="1"/>
      <c r="C511" s="1"/>
      <c r="D511" s="1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ht="15.75" customHeight="1">
      <c r="A512" s="1"/>
      <c r="B512" s="1"/>
      <c r="C512" s="1"/>
      <c r="D512" s="1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ht="15.75" customHeight="1">
      <c r="A513" s="1"/>
      <c r="B513" s="1"/>
      <c r="C513" s="1"/>
      <c r="D513" s="1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ht="15.75" customHeight="1">
      <c r="A514" s="1"/>
      <c r="B514" s="1"/>
      <c r="C514" s="1"/>
      <c r="D514" s="1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ht="15.75" customHeight="1">
      <c r="A515" s="1"/>
      <c r="B515" s="1"/>
      <c r="C515" s="1"/>
      <c r="D515" s="1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ht="15.75" customHeight="1">
      <c r="A516" s="1"/>
      <c r="B516" s="1"/>
      <c r="C516" s="1"/>
      <c r="D516" s="1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ht="15.75" customHeight="1">
      <c r="A517" s="1"/>
      <c r="B517" s="1"/>
      <c r="C517" s="1"/>
      <c r="D517" s="1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ht="15.75" customHeight="1">
      <c r="A518" s="1"/>
      <c r="B518" s="1"/>
      <c r="C518" s="1"/>
      <c r="D518" s="1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ht="15.75" customHeight="1">
      <c r="A519" s="1"/>
      <c r="B519" s="1"/>
      <c r="C519" s="1"/>
      <c r="D519" s="1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ht="15.75" customHeight="1">
      <c r="A520" s="1"/>
      <c r="B520" s="1"/>
      <c r="C520" s="1"/>
      <c r="D520" s="1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ht="15.75" customHeight="1">
      <c r="A521" s="1"/>
      <c r="B521" s="1"/>
      <c r="C521" s="1"/>
      <c r="D521" s="1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ht="15.75" customHeight="1">
      <c r="A522" s="1"/>
      <c r="B522" s="1"/>
      <c r="C522" s="1"/>
      <c r="D522" s="1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ht="15.75" customHeight="1">
      <c r="A523" s="1"/>
      <c r="B523" s="1"/>
      <c r="C523" s="1"/>
      <c r="D523" s="1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ht="15.75" customHeight="1">
      <c r="A524" s="1"/>
      <c r="B524" s="1"/>
      <c r="C524" s="1"/>
      <c r="D524" s="1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ht="15.75" customHeight="1">
      <c r="A525" s="1"/>
      <c r="B525" s="1"/>
      <c r="C525" s="1"/>
      <c r="D525" s="1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ht="15.75" customHeight="1">
      <c r="A526" s="1"/>
      <c r="B526" s="1"/>
      <c r="C526" s="1"/>
      <c r="D526" s="1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ht="15.75" customHeight="1">
      <c r="A527" s="1"/>
      <c r="B527" s="1"/>
      <c r="C527" s="1"/>
      <c r="D527" s="1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ht="15.75" customHeight="1">
      <c r="A528" s="1"/>
      <c r="B528" s="1"/>
      <c r="C528" s="1"/>
      <c r="D528" s="1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ht="15.75" customHeight="1">
      <c r="A529" s="1"/>
      <c r="B529" s="1"/>
      <c r="C529" s="1"/>
      <c r="D529" s="1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ht="15.75" customHeight="1">
      <c r="A530" s="1"/>
      <c r="B530" s="1"/>
      <c r="C530" s="1"/>
      <c r="D530" s="1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ht="15.75" customHeight="1">
      <c r="A531" s="1"/>
      <c r="B531" s="1"/>
      <c r="C531" s="1"/>
      <c r="D531" s="1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ht="15.75" customHeight="1">
      <c r="A532" s="1"/>
      <c r="B532" s="1"/>
      <c r="C532" s="1"/>
      <c r="D532" s="1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ht="15.75" customHeight="1">
      <c r="A533" s="1"/>
      <c r="B533" s="1"/>
      <c r="C533" s="1"/>
      <c r="D533" s="1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ht="15.75" customHeight="1">
      <c r="A534" s="1"/>
      <c r="B534" s="1"/>
      <c r="C534" s="1"/>
      <c r="D534" s="1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ht="15.75" customHeight="1">
      <c r="A535" s="1"/>
      <c r="B535" s="1"/>
      <c r="C535" s="1"/>
      <c r="D535" s="1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ht="15.75" customHeight="1">
      <c r="A536" s="1"/>
      <c r="B536" s="1"/>
      <c r="C536" s="1"/>
      <c r="D536" s="1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ht="15.75" customHeight="1">
      <c r="A537" s="1"/>
      <c r="B537" s="1"/>
      <c r="C537" s="1"/>
      <c r="D537" s="1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ht="15.75" customHeight="1">
      <c r="A538" s="1"/>
      <c r="B538" s="1"/>
      <c r="C538" s="1"/>
      <c r="D538" s="1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ht="15.75" customHeight="1">
      <c r="A539" s="1"/>
      <c r="B539" s="1"/>
      <c r="C539" s="1"/>
      <c r="D539" s="1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ht="15.75" customHeight="1">
      <c r="A540" s="1"/>
      <c r="B540" s="1"/>
      <c r="C540" s="1"/>
      <c r="D540" s="1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ht="15.75" customHeight="1">
      <c r="A541" s="1"/>
      <c r="B541" s="1"/>
      <c r="C541" s="1"/>
      <c r="D541" s="1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ht="15.75" customHeight="1">
      <c r="A542" s="1"/>
      <c r="B542" s="1"/>
      <c r="C542" s="1"/>
      <c r="D542" s="1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ht="15.75" customHeight="1">
      <c r="A543" s="1"/>
      <c r="B543" s="1"/>
      <c r="C543" s="1"/>
      <c r="D543" s="1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ht="15.75" customHeight="1">
      <c r="A544" s="1"/>
      <c r="B544" s="1"/>
      <c r="C544" s="1"/>
      <c r="D544" s="1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ht="15.75" customHeight="1">
      <c r="A545" s="1"/>
      <c r="B545" s="1"/>
      <c r="C545" s="1"/>
      <c r="D545" s="1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ht="15.75" customHeight="1">
      <c r="A546" s="1"/>
      <c r="B546" s="1"/>
      <c r="C546" s="1"/>
      <c r="D546" s="1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ht="15.75" customHeight="1">
      <c r="A547" s="1"/>
      <c r="B547" s="1"/>
      <c r="C547" s="1"/>
      <c r="D547" s="1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ht="15.75" customHeight="1">
      <c r="A548" s="1"/>
      <c r="B548" s="1"/>
      <c r="C548" s="1"/>
      <c r="D548" s="1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ht="15.75" customHeight="1">
      <c r="A549" s="1"/>
      <c r="B549" s="1"/>
      <c r="C549" s="1"/>
      <c r="D549" s="1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ht="15.75" customHeight="1">
      <c r="A550" s="1"/>
      <c r="B550" s="1"/>
      <c r="C550" s="1"/>
      <c r="D550" s="1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ht="15.75" customHeight="1">
      <c r="A551" s="1"/>
      <c r="B551" s="1"/>
      <c r="C551" s="1"/>
      <c r="D551" s="1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ht="15.75" customHeight="1">
      <c r="A552" s="1"/>
      <c r="B552" s="1"/>
      <c r="C552" s="1"/>
      <c r="D552" s="1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ht="15.75" customHeight="1">
      <c r="A553" s="1"/>
      <c r="B553" s="1"/>
      <c r="C553" s="1"/>
      <c r="D553" s="1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ht="15.75" customHeight="1">
      <c r="A554" s="1"/>
      <c r="B554" s="1"/>
      <c r="C554" s="1"/>
      <c r="D554" s="1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ht="15.75" customHeight="1">
      <c r="A555" s="1"/>
      <c r="B555" s="1"/>
      <c r="C555" s="1"/>
      <c r="D555" s="1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ht="15.75" customHeight="1">
      <c r="A556" s="1"/>
      <c r="B556" s="1"/>
      <c r="C556" s="1"/>
      <c r="D556" s="1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ht="15.75" customHeight="1">
      <c r="A557" s="1"/>
      <c r="B557" s="1"/>
      <c r="C557" s="1"/>
      <c r="D557" s="1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ht="15.75" customHeight="1">
      <c r="A558" s="1"/>
      <c r="B558" s="1"/>
      <c r="C558" s="1"/>
      <c r="D558" s="1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ht="15.75" customHeight="1">
      <c r="A559" s="1"/>
      <c r="B559" s="1"/>
      <c r="C559" s="1"/>
      <c r="D559" s="1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ht="15.75" customHeight="1">
      <c r="A560" s="1"/>
      <c r="B560" s="1"/>
      <c r="C560" s="1"/>
      <c r="D560" s="1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ht="15.75" customHeight="1">
      <c r="A561" s="1"/>
      <c r="B561" s="1"/>
      <c r="C561" s="1"/>
      <c r="D561" s="1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ht="15.75" customHeight="1">
      <c r="A562" s="1"/>
      <c r="B562" s="1"/>
      <c r="C562" s="1"/>
      <c r="D562" s="1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ht="15.75" customHeight="1">
      <c r="A563" s="1"/>
      <c r="B563" s="1"/>
      <c r="C563" s="1"/>
      <c r="D563" s="1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ht="15.75" customHeight="1">
      <c r="A564" s="1"/>
      <c r="B564" s="1"/>
      <c r="C564" s="1"/>
      <c r="D564" s="1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ht="15.75" customHeight="1">
      <c r="A565" s="1"/>
      <c r="B565" s="1"/>
      <c r="C565" s="1"/>
      <c r="D565" s="1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ht="15.75" customHeight="1">
      <c r="A566" s="1"/>
      <c r="B566" s="1"/>
      <c r="C566" s="1"/>
      <c r="D566" s="1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ht="15.75" customHeight="1">
      <c r="A567" s="1"/>
      <c r="B567" s="1"/>
      <c r="C567" s="1"/>
      <c r="D567" s="1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ht="15.75" customHeight="1">
      <c r="A568" s="1"/>
      <c r="B568" s="1"/>
      <c r="C568" s="1"/>
      <c r="D568" s="1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ht="15.75" customHeight="1">
      <c r="A569" s="1"/>
      <c r="B569" s="1"/>
      <c r="C569" s="1"/>
      <c r="D569" s="1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ht="15.75" customHeight="1">
      <c r="A570" s="1"/>
      <c r="B570" s="1"/>
      <c r="C570" s="1"/>
      <c r="D570" s="1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ht="15.75" customHeight="1">
      <c r="A571" s="1"/>
      <c r="B571" s="1"/>
      <c r="C571" s="1"/>
      <c r="D571" s="1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ht="15.75" customHeight="1">
      <c r="A572" s="1"/>
      <c r="B572" s="1"/>
      <c r="C572" s="1"/>
      <c r="D572" s="1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ht="15.75" customHeight="1">
      <c r="A573" s="1"/>
      <c r="B573" s="1"/>
      <c r="C573" s="1"/>
      <c r="D573" s="1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ht="15.75" customHeight="1">
      <c r="A574" s="1"/>
      <c r="B574" s="1"/>
      <c r="C574" s="1"/>
      <c r="D574" s="1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ht="15.75" customHeight="1">
      <c r="A575" s="1"/>
      <c r="B575" s="1"/>
      <c r="C575" s="1"/>
      <c r="D575" s="1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ht="15.75" customHeight="1">
      <c r="A576" s="1"/>
      <c r="B576" s="1"/>
      <c r="C576" s="1"/>
      <c r="D576" s="1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ht="15.75" customHeight="1">
      <c r="A577" s="1"/>
      <c r="B577" s="1"/>
      <c r="C577" s="1"/>
      <c r="D577" s="1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ht="15.75" customHeight="1">
      <c r="A578" s="1"/>
      <c r="B578" s="1"/>
      <c r="C578" s="1"/>
      <c r="D578" s="1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ht="15.75" customHeight="1">
      <c r="A579" s="1"/>
      <c r="B579" s="1"/>
      <c r="C579" s="1"/>
      <c r="D579" s="1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ht="15.75" customHeight="1">
      <c r="A580" s="1"/>
      <c r="B580" s="1"/>
      <c r="C580" s="1"/>
      <c r="D580" s="1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ht="15.75" customHeight="1">
      <c r="A581" s="1"/>
      <c r="B581" s="1"/>
      <c r="C581" s="1"/>
      <c r="D581" s="1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ht="15.75" customHeight="1">
      <c r="A582" s="1"/>
      <c r="B582" s="1"/>
      <c r="C582" s="1"/>
      <c r="D582" s="1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ht="15.75" customHeight="1">
      <c r="A583" s="1"/>
      <c r="B583" s="1"/>
      <c r="C583" s="1"/>
      <c r="D583" s="1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ht="15.75" customHeight="1">
      <c r="A584" s="1"/>
      <c r="B584" s="1"/>
      <c r="C584" s="1"/>
      <c r="D584" s="1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ht="15.75" customHeight="1">
      <c r="A585" s="1"/>
      <c r="B585" s="1"/>
      <c r="C585" s="1"/>
      <c r="D585" s="1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ht="15.75" customHeight="1">
      <c r="A586" s="1"/>
      <c r="B586" s="1"/>
      <c r="C586" s="1"/>
      <c r="D586" s="1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ht="15.75" customHeight="1">
      <c r="A587" s="1"/>
      <c r="B587" s="1"/>
      <c r="C587" s="1"/>
      <c r="D587" s="1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ht="15.75" customHeight="1">
      <c r="A588" s="1"/>
      <c r="B588" s="1"/>
      <c r="C588" s="1"/>
      <c r="D588" s="1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ht="15.75" customHeight="1">
      <c r="A589" s="1"/>
      <c r="B589" s="1"/>
      <c r="C589" s="1"/>
      <c r="D589" s="1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ht="15.75" customHeight="1">
      <c r="A590" s="1"/>
      <c r="B590" s="1"/>
      <c r="C590" s="1"/>
      <c r="D590" s="1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ht="15.75" customHeight="1">
      <c r="A591" s="1"/>
      <c r="B591" s="1"/>
      <c r="C591" s="1"/>
      <c r="D591" s="1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ht="15.75" customHeight="1">
      <c r="A592" s="1"/>
      <c r="B592" s="1"/>
      <c r="C592" s="1"/>
      <c r="D592" s="1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ht="15.75" customHeight="1">
      <c r="A593" s="1"/>
      <c r="B593" s="1"/>
      <c r="C593" s="1"/>
      <c r="D593" s="1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ht="15.75" customHeight="1">
      <c r="A594" s="1"/>
      <c r="B594" s="1"/>
      <c r="C594" s="1"/>
      <c r="D594" s="1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ht="15.75" customHeight="1">
      <c r="A595" s="1"/>
      <c r="B595" s="1"/>
      <c r="C595" s="1"/>
      <c r="D595" s="1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ht="15.75" customHeight="1">
      <c r="A596" s="1"/>
      <c r="B596" s="1"/>
      <c r="C596" s="1"/>
      <c r="D596" s="1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ht="15.75" customHeight="1">
      <c r="A597" s="1"/>
      <c r="B597" s="1"/>
      <c r="C597" s="1"/>
      <c r="D597" s="1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ht="15.75" customHeight="1">
      <c r="A598" s="1"/>
      <c r="B598" s="1"/>
      <c r="C598" s="1"/>
      <c r="D598" s="1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ht="15.75" customHeight="1">
      <c r="A599" s="1"/>
      <c r="B599" s="1"/>
      <c r="C599" s="1"/>
      <c r="D599" s="1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ht="15.75" customHeight="1">
      <c r="A600" s="1"/>
      <c r="B600" s="1"/>
      <c r="C600" s="1"/>
      <c r="D600" s="1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ht="15.75" customHeight="1">
      <c r="A601" s="1"/>
      <c r="B601" s="1"/>
      <c r="C601" s="1"/>
      <c r="D601" s="1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ht="15.75" customHeight="1">
      <c r="A602" s="1"/>
      <c r="B602" s="1"/>
      <c r="C602" s="1"/>
      <c r="D602" s="1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ht="15.75" customHeight="1">
      <c r="A603" s="1"/>
      <c r="B603" s="1"/>
      <c r="C603" s="1"/>
      <c r="D603" s="1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ht="15.75" customHeight="1">
      <c r="A604" s="1"/>
      <c r="B604" s="1"/>
      <c r="C604" s="1"/>
      <c r="D604" s="1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ht="15.75" customHeight="1">
      <c r="A605" s="1"/>
      <c r="B605" s="1"/>
      <c r="C605" s="1"/>
      <c r="D605" s="1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ht="15.75" customHeight="1">
      <c r="A606" s="1"/>
      <c r="B606" s="1"/>
      <c r="C606" s="1"/>
      <c r="D606" s="1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ht="15.75" customHeight="1">
      <c r="A607" s="1"/>
      <c r="B607" s="1"/>
      <c r="C607" s="1"/>
      <c r="D607" s="1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ht="15.75" customHeight="1">
      <c r="A608" s="1"/>
      <c r="B608" s="1"/>
      <c r="C608" s="1"/>
      <c r="D608" s="1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ht="15.75" customHeight="1">
      <c r="A609" s="1"/>
      <c r="B609" s="1"/>
      <c r="C609" s="1"/>
      <c r="D609" s="1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ht="15.75" customHeight="1">
      <c r="A610" s="1"/>
      <c r="B610" s="1"/>
      <c r="C610" s="1"/>
      <c r="D610" s="1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ht="15.75" customHeight="1">
      <c r="A611" s="1"/>
      <c r="B611" s="1"/>
      <c r="C611" s="1"/>
      <c r="D611" s="1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ht="15.75" customHeight="1">
      <c r="A612" s="1"/>
      <c r="B612" s="1"/>
      <c r="C612" s="1"/>
      <c r="D612" s="1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ht="15.75" customHeight="1">
      <c r="A613" s="1"/>
      <c r="B613" s="1"/>
      <c r="C613" s="1"/>
      <c r="D613" s="1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ht="15.75" customHeight="1">
      <c r="A614" s="1"/>
      <c r="B614" s="1"/>
      <c r="C614" s="1"/>
      <c r="D614" s="1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ht="15.75" customHeight="1">
      <c r="A615" s="1"/>
      <c r="B615" s="1"/>
      <c r="C615" s="1"/>
      <c r="D615" s="1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ht="15.75" customHeight="1">
      <c r="A616" s="1"/>
      <c r="B616" s="1"/>
      <c r="C616" s="1"/>
      <c r="D616" s="1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ht="15.75" customHeight="1">
      <c r="A617" s="1"/>
      <c r="B617" s="1"/>
      <c r="C617" s="1"/>
      <c r="D617" s="1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ht="15.75" customHeight="1">
      <c r="A618" s="1"/>
      <c r="B618" s="1"/>
      <c r="C618" s="1"/>
      <c r="D618" s="1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ht="15.75" customHeight="1">
      <c r="A619" s="1"/>
      <c r="B619" s="1"/>
      <c r="C619" s="1"/>
      <c r="D619" s="1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ht="15.75" customHeight="1">
      <c r="A620" s="1"/>
      <c r="B620" s="1"/>
      <c r="C620" s="1"/>
      <c r="D620" s="1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ht="15.75" customHeight="1">
      <c r="A621" s="1"/>
      <c r="B621" s="1"/>
      <c r="C621" s="1"/>
      <c r="D621" s="1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ht="15.75" customHeight="1">
      <c r="A622" s="1"/>
      <c r="B622" s="1"/>
      <c r="C622" s="1"/>
      <c r="D622" s="1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ht="15.75" customHeight="1">
      <c r="A623" s="1"/>
      <c r="B623" s="1"/>
      <c r="C623" s="1"/>
      <c r="D623" s="1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ht="15.75" customHeight="1">
      <c r="A624" s="1"/>
      <c r="B624" s="1"/>
      <c r="C624" s="1"/>
      <c r="D624" s="1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ht="15.75" customHeight="1">
      <c r="A625" s="1"/>
      <c r="B625" s="1"/>
      <c r="C625" s="1"/>
      <c r="D625" s="1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ht="15.75" customHeight="1">
      <c r="A626" s="1"/>
      <c r="B626" s="1"/>
      <c r="C626" s="1"/>
      <c r="D626" s="1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ht="15.75" customHeight="1">
      <c r="A627" s="1"/>
      <c r="B627" s="1"/>
      <c r="C627" s="1"/>
      <c r="D627" s="1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ht="15.75" customHeight="1">
      <c r="A628" s="1"/>
      <c r="B628" s="1"/>
      <c r="C628" s="1"/>
      <c r="D628" s="1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ht="15.75" customHeight="1">
      <c r="A629" s="1"/>
      <c r="B629" s="1"/>
      <c r="C629" s="1"/>
      <c r="D629" s="1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ht="15.75" customHeight="1">
      <c r="A630" s="1"/>
      <c r="B630" s="1"/>
      <c r="C630" s="1"/>
      <c r="D630" s="1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ht="15.75" customHeight="1">
      <c r="A631" s="1"/>
      <c r="B631" s="1"/>
      <c r="C631" s="1"/>
      <c r="D631" s="1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ht="15.75" customHeight="1">
      <c r="A632" s="1"/>
      <c r="B632" s="1"/>
      <c r="C632" s="1"/>
      <c r="D632" s="1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ht="15.75" customHeight="1">
      <c r="A633" s="1"/>
      <c r="B633" s="1"/>
      <c r="C633" s="1"/>
      <c r="D633" s="1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ht="15.75" customHeight="1">
      <c r="A634" s="1"/>
      <c r="B634" s="1"/>
      <c r="C634" s="1"/>
      <c r="D634" s="1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ht="15.75" customHeight="1">
      <c r="A635" s="1"/>
      <c r="B635" s="1"/>
      <c r="C635" s="1"/>
      <c r="D635" s="1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ht="15.75" customHeight="1">
      <c r="A636" s="1"/>
      <c r="B636" s="1"/>
      <c r="C636" s="1"/>
      <c r="D636" s="1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ht="15.75" customHeight="1">
      <c r="A637" s="1"/>
      <c r="B637" s="1"/>
      <c r="C637" s="1"/>
      <c r="D637" s="1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ht="15.75" customHeight="1">
      <c r="A638" s="1"/>
      <c r="B638" s="1"/>
      <c r="C638" s="1"/>
      <c r="D638" s="1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ht="15.75" customHeight="1">
      <c r="A639" s="1"/>
      <c r="B639" s="1"/>
      <c r="C639" s="1"/>
      <c r="D639" s="1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ht="15.75" customHeight="1">
      <c r="A640" s="1"/>
      <c r="B640" s="1"/>
      <c r="C640" s="1"/>
      <c r="D640" s="1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ht="15.75" customHeight="1">
      <c r="A641" s="1"/>
      <c r="B641" s="1"/>
      <c r="C641" s="1"/>
      <c r="D641" s="1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ht="15.75" customHeight="1">
      <c r="A642" s="1"/>
      <c r="B642" s="1"/>
      <c r="C642" s="1"/>
      <c r="D642" s="1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ht="15.75" customHeight="1">
      <c r="A643" s="1"/>
      <c r="B643" s="1"/>
      <c r="C643" s="1"/>
      <c r="D643" s="1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ht="15.75" customHeight="1">
      <c r="A644" s="1"/>
      <c r="B644" s="1"/>
      <c r="C644" s="1"/>
      <c r="D644" s="1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ht="15.75" customHeight="1">
      <c r="A645" s="1"/>
      <c r="B645" s="1"/>
      <c r="C645" s="1"/>
      <c r="D645" s="1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ht="15.75" customHeight="1">
      <c r="A646" s="1"/>
      <c r="B646" s="1"/>
      <c r="C646" s="1"/>
      <c r="D646" s="1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ht="15.75" customHeight="1">
      <c r="A647" s="1"/>
      <c r="B647" s="1"/>
      <c r="C647" s="1"/>
      <c r="D647" s="1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ht="15.75" customHeight="1">
      <c r="A648" s="1"/>
      <c r="B648" s="1"/>
      <c r="C648" s="1"/>
      <c r="D648" s="1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ht="15.75" customHeight="1">
      <c r="A649" s="1"/>
      <c r="B649" s="1"/>
      <c r="C649" s="1"/>
      <c r="D649" s="1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ht="15.75" customHeight="1">
      <c r="A650" s="1"/>
      <c r="B650" s="1"/>
      <c r="C650" s="1"/>
      <c r="D650" s="1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ht="15.75" customHeight="1">
      <c r="A651" s="1"/>
      <c r="B651" s="1"/>
      <c r="C651" s="1"/>
      <c r="D651" s="1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ht="15.75" customHeight="1">
      <c r="A652" s="1"/>
      <c r="B652" s="1"/>
      <c r="C652" s="1"/>
      <c r="D652" s="1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ht="15.75" customHeight="1">
      <c r="A653" s="1"/>
      <c r="B653" s="1"/>
      <c r="C653" s="1"/>
      <c r="D653" s="1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ht="15.75" customHeight="1">
      <c r="A654" s="1"/>
      <c r="B654" s="1"/>
      <c r="C654" s="1"/>
      <c r="D654" s="1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ht="15.75" customHeight="1">
      <c r="A655" s="1"/>
      <c r="B655" s="1"/>
      <c r="C655" s="1"/>
      <c r="D655" s="1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ht="15.75" customHeight="1">
      <c r="A656" s="1"/>
      <c r="B656" s="1"/>
      <c r="C656" s="1"/>
      <c r="D656" s="1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ht="15.75" customHeight="1">
      <c r="A657" s="1"/>
      <c r="B657" s="1"/>
      <c r="C657" s="1"/>
      <c r="D657" s="1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ht="15.75" customHeight="1">
      <c r="A658" s="1"/>
      <c r="B658" s="1"/>
      <c r="C658" s="1"/>
      <c r="D658" s="1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ht="15.75" customHeight="1">
      <c r="A659" s="1"/>
      <c r="B659" s="1"/>
      <c r="C659" s="1"/>
      <c r="D659" s="1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ht="15.75" customHeight="1">
      <c r="A660" s="1"/>
      <c r="B660" s="1"/>
      <c r="C660" s="1"/>
      <c r="D660" s="1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ht="15.75" customHeight="1">
      <c r="A661" s="1"/>
      <c r="B661" s="1"/>
      <c r="C661" s="1"/>
      <c r="D661" s="1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ht="15.75" customHeight="1">
      <c r="A662" s="1"/>
      <c r="B662" s="1"/>
      <c r="C662" s="1"/>
      <c r="D662" s="1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ht="15.75" customHeight="1">
      <c r="A663" s="1"/>
      <c r="B663" s="1"/>
      <c r="C663" s="1"/>
      <c r="D663" s="1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ht="15.75" customHeight="1">
      <c r="A664" s="1"/>
      <c r="B664" s="1"/>
      <c r="C664" s="1"/>
      <c r="D664" s="1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ht="15.75" customHeight="1">
      <c r="A665" s="1"/>
      <c r="B665" s="1"/>
      <c r="C665" s="1"/>
      <c r="D665" s="1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ht="15.75" customHeight="1">
      <c r="A666" s="1"/>
      <c r="B666" s="1"/>
      <c r="C666" s="1"/>
      <c r="D666" s="1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ht="15.75" customHeight="1">
      <c r="A667" s="1"/>
      <c r="B667" s="1"/>
      <c r="C667" s="1"/>
      <c r="D667" s="1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ht="15.75" customHeight="1">
      <c r="A668" s="1"/>
      <c r="B668" s="1"/>
      <c r="C668" s="1"/>
      <c r="D668" s="1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ht="15.75" customHeight="1">
      <c r="A669" s="1"/>
      <c r="B669" s="1"/>
      <c r="C669" s="1"/>
      <c r="D669" s="1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ht="15.75" customHeight="1">
      <c r="A670" s="1"/>
      <c r="B670" s="1"/>
      <c r="C670" s="1"/>
      <c r="D670" s="1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ht="15.75" customHeight="1">
      <c r="A671" s="1"/>
      <c r="B671" s="1"/>
      <c r="C671" s="1"/>
      <c r="D671" s="1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ht="15.75" customHeight="1">
      <c r="A672" s="1"/>
      <c r="B672" s="1"/>
      <c r="C672" s="1"/>
      <c r="D672" s="1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ht="15.75" customHeight="1">
      <c r="A673" s="1"/>
      <c r="B673" s="1"/>
      <c r="C673" s="1"/>
      <c r="D673" s="1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ht="15.75" customHeight="1">
      <c r="A674" s="1"/>
      <c r="B674" s="1"/>
      <c r="C674" s="1"/>
      <c r="D674" s="1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ht="15.75" customHeight="1">
      <c r="A675" s="1"/>
      <c r="B675" s="1"/>
      <c r="C675" s="1"/>
      <c r="D675" s="1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ht="15.75" customHeight="1">
      <c r="A676" s="1"/>
      <c r="B676" s="1"/>
      <c r="C676" s="1"/>
      <c r="D676" s="1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ht="15.75" customHeight="1">
      <c r="A677" s="1"/>
      <c r="B677" s="1"/>
      <c r="C677" s="1"/>
      <c r="D677" s="1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ht="15.75" customHeight="1">
      <c r="A678" s="1"/>
      <c r="B678" s="1"/>
      <c r="C678" s="1"/>
      <c r="D678" s="1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ht="15.75" customHeight="1">
      <c r="A679" s="1"/>
      <c r="B679" s="1"/>
      <c r="C679" s="1"/>
      <c r="D679" s="1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ht="15.75" customHeight="1">
      <c r="A680" s="1"/>
      <c r="B680" s="1"/>
      <c r="C680" s="1"/>
      <c r="D680" s="1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ht="15.75" customHeight="1">
      <c r="A681" s="1"/>
      <c r="B681" s="1"/>
      <c r="C681" s="1"/>
      <c r="D681" s="1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ht="15.75" customHeight="1">
      <c r="A682" s="1"/>
      <c r="B682" s="1"/>
      <c r="C682" s="1"/>
      <c r="D682" s="1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ht="15.75" customHeight="1">
      <c r="A683" s="1"/>
      <c r="B683" s="1"/>
      <c r="C683" s="1"/>
      <c r="D683" s="1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ht="15.75" customHeight="1">
      <c r="A684" s="1"/>
      <c r="B684" s="1"/>
      <c r="C684" s="1"/>
      <c r="D684" s="1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ht="15.75" customHeight="1">
      <c r="A685" s="1"/>
      <c r="B685" s="1"/>
      <c r="C685" s="1"/>
      <c r="D685" s="1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ht="15.75" customHeight="1">
      <c r="A686" s="1"/>
      <c r="B686" s="1"/>
      <c r="C686" s="1"/>
      <c r="D686" s="1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ht="15.75" customHeight="1">
      <c r="A687" s="1"/>
      <c r="B687" s="1"/>
      <c r="C687" s="1"/>
      <c r="D687" s="1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ht="15.75" customHeight="1">
      <c r="A688" s="1"/>
      <c r="B688" s="1"/>
      <c r="C688" s="1"/>
      <c r="D688" s="1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ht="15.75" customHeight="1">
      <c r="A689" s="1"/>
      <c r="B689" s="1"/>
      <c r="C689" s="1"/>
      <c r="D689" s="1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ht="15.75" customHeight="1">
      <c r="A690" s="1"/>
      <c r="B690" s="1"/>
      <c r="C690" s="1"/>
      <c r="D690" s="1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ht="15.75" customHeight="1">
      <c r="A691" s="1"/>
      <c r="B691" s="1"/>
      <c r="C691" s="1"/>
      <c r="D691" s="1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ht="15.75" customHeight="1">
      <c r="A692" s="1"/>
      <c r="B692" s="1"/>
      <c r="C692" s="1"/>
      <c r="D692" s="1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ht="15.75" customHeight="1">
      <c r="A693" s="1"/>
      <c r="B693" s="1"/>
      <c r="C693" s="1"/>
      <c r="D693" s="1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ht="15.75" customHeight="1">
      <c r="A694" s="1"/>
      <c r="B694" s="1"/>
      <c r="C694" s="1"/>
      <c r="D694" s="1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ht="15.75" customHeight="1">
      <c r="A695" s="1"/>
      <c r="B695" s="1"/>
      <c r="C695" s="1"/>
      <c r="D695" s="1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ht="15.75" customHeight="1">
      <c r="A696" s="1"/>
      <c r="B696" s="1"/>
      <c r="C696" s="1"/>
      <c r="D696" s="1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ht="15.75" customHeight="1">
      <c r="A697" s="1"/>
      <c r="B697" s="1"/>
      <c r="C697" s="1"/>
      <c r="D697" s="1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ht="15.75" customHeight="1">
      <c r="A698" s="1"/>
      <c r="B698" s="1"/>
      <c r="C698" s="1"/>
      <c r="D698" s="1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ht="15.75" customHeight="1">
      <c r="A699" s="1"/>
      <c r="B699" s="1"/>
      <c r="C699" s="1"/>
      <c r="D699" s="1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ht="15.75" customHeight="1">
      <c r="A700" s="1"/>
      <c r="B700" s="1"/>
      <c r="C700" s="1"/>
      <c r="D700" s="1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ht="15.75" customHeight="1">
      <c r="A701" s="1"/>
      <c r="B701" s="1"/>
      <c r="C701" s="1"/>
      <c r="D701" s="1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ht="15.75" customHeight="1">
      <c r="A702" s="1"/>
      <c r="B702" s="1"/>
      <c r="C702" s="1"/>
      <c r="D702" s="1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ht="15.75" customHeight="1">
      <c r="A703" s="1"/>
      <c r="B703" s="1"/>
      <c r="C703" s="1"/>
      <c r="D703" s="1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ht="15.75" customHeight="1">
      <c r="A704" s="1"/>
      <c r="B704" s="1"/>
      <c r="C704" s="1"/>
      <c r="D704" s="1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ht="15.75" customHeight="1">
      <c r="A705" s="1"/>
      <c r="B705" s="1"/>
      <c r="C705" s="1"/>
      <c r="D705" s="1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ht="15.75" customHeight="1">
      <c r="A706" s="1"/>
      <c r="B706" s="1"/>
      <c r="C706" s="1"/>
      <c r="D706" s="1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ht="15.75" customHeight="1">
      <c r="A707" s="1"/>
      <c r="B707" s="1"/>
      <c r="C707" s="1"/>
      <c r="D707" s="1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ht="15.75" customHeight="1">
      <c r="A708" s="1"/>
      <c r="B708" s="1"/>
      <c r="C708" s="1"/>
      <c r="D708" s="1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ht="15.75" customHeight="1">
      <c r="A709" s="1"/>
      <c r="B709" s="1"/>
      <c r="C709" s="1"/>
      <c r="D709" s="1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ht="15.75" customHeight="1">
      <c r="A710" s="1"/>
      <c r="B710" s="1"/>
      <c r="C710" s="1"/>
      <c r="D710" s="1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ht="15.75" customHeight="1">
      <c r="A711" s="1"/>
      <c r="B711" s="1"/>
      <c r="C711" s="1"/>
      <c r="D711" s="1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ht="15.75" customHeight="1">
      <c r="A712" s="1"/>
      <c r="B712" s="1"/>
      <c r="C712" s="1"/>
      <c r="D712" s="1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ht="15.75" customHeight="1">
      <c r="A713" s="1"/>
      <c r="B713" s="1"/>
      <c r="C713" s="1"/>
      <c r="D713" s="1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ht="15.75" customHeight="1">
      <c r="A714" s="1"/>
      <c r="B714" s="1"/>
      <c r="C714" s="1"/>
      <c r="D714" s="1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ht="15.75" customHeight="1">
      <c r="A715" s="1"/>
      <c r="B715" s="1"/>
      <c r="C715" s="1"/>
      <c r="D715" s="1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ht="15.75" customHeight="1">
      <c r="A716" s="1"/>
      <c r="B716" s="1"/>
      <c r="C716" s="1"/>
      <c r="D716" s="1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ht="15.75" customHeight="1">
      <c r="A717" s="1"/>
      <c r="B717" s="1"/>
      <c r="C717" s="1"/>
      <c r="D717" s="1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ht="15.75" customHeight="1">
      <c r="A718" s="1"/>
      <c r="B718" s="1"/>
      <c r="C718" s="1"/>
      <c r="D718" s="1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ht="15.75" customHeight="1">
      <c r="A719" s="1"/>
      <c r="B719" s="1"/>
      <c r="C719" s="1"/>
      <c r="D719" s="1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ht="15.75" customHeight="1">
      <c r="A720" s="1"/>
      <c r="B720" s="1"/>
      <c r="C720" s="1"/>
      <c r="D720" s="1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ht="15.75" customHeight="1">
      <c r="A721" s="1"/>
      <c r="B721" s="1"/>
      <c r="C721" s="1"/>
      <c r="D721" s="1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ht="15.75" customHeight="1">
      <c r="A722" s="1"/>
      <c r="B722" s="1"/>
      <c r="C722" s="1"/>
      <c r="D722" s="1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ht="15.75" customHeight="1">
      <c r="A723" s="1"/>
      <c r="B723" s="1"/>
      <c r="C723" s="1"/>
      <c r="D723" s="1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ht="15.75" customHeight="1">
      <c r="A724" s="1"/>
      <c r="B724" s="1"/>
      <c r="C724" s="1"/>
      <c r="D724" s="1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ht="15.75" customHeight="1">
      <c r="A725" s="1"/>
      <c r="B725" s="1"/>
      <c r="C725" s="1"/>
      <c r="D725" s="1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ht="15.75" customHeight="1">
      <c r="A726" s="1"/>
      <c r="B726" s="1"/>
      <c r="C726" s="1"/>
      <c r="D726" s="1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ht="15.75" customHeight="1">
      <c r="A727" s="1"/>
      <c r="B727" s="1"/>
      <c r="C727" s="1"/>
      <c r="D727" s="1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ht="15.75" customHeight="1">
      <c r="A728" s="1"/>
      <c r="B728" s="1"/>
      <c r="C728" s="1"/>
      <c r="D728" s="1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ht="15.75" customHeight="1">
      <c r="A729" s="1"/>
      <c r="B729" s="1"/>
      <c r="C729" s="1"/>
      <c r="D729" s="1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ht="15.75" customHeight="1">
      <c r="A730" s="1"/>
      <c r="B730" s="1"/>
      <c r="C730" s="1"/>
      <c r="D730" s="1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ht="15.75" customHeight="1">
      <c r="A731" s="1"/>
      <c r="B731" s="1"/>
      <c r="C731" s="1"/>
      <c r="D731" s="1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ht="15.75" customHeight="1">
      <c r="A732" s="1"/>
      <c r="B732" s="1"/>
      <c r="C732" s="1"/>
      <c r="D732" s="1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ht="15.75" customHeight="1">
      <c r="A733" s="1"/>
      <c r="B733" s="1"/>
      <c r="C733" s="1"/>
      <c r="D733" s="1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ht="15.75" customHeight="1">
      <c r="A734" s="1"/>
      <c r="B734" s="1"/>
      <c r="C734" s="1"/>
      <c r="D734" s="1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ht="15.75" customHeight="1">
      <c r="A735" s="1"/>
      <c r="B735" s="1"/>
      <c r="C735" s="1"/>
      <c r="D735" s="1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ht="15.75" customHeight="1">
      <c r="A736" s="1"/>
      <c r="B736" s="1"/>
      <c r="C736" s="1"/>
      <c r="D736" s="1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ht="15.75" customHeight="1">
      <c r="A737" s="1"/>
      <c r="B737" s="1"/>
      <c r="C737" s="1"/>
      <c r="D737" s="1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ht="15.75" customHeight="1">
      <c r="A738" s="1"/>
      <c r="B738" s="1"/>
      <c r="C738" s="1"/>
      <c r="D738" s="1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ht="15.75" customHeight="1">
      <c r="A739" s="1"/>
      <c r="B739" s="1"/>
      <c r="C739" s="1"/>
      <c r="D739" s="1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ht="15.75" customHeight="1">
      <c r="A740" s="1"/>
      <c r="B740" s="1"/>
      <c r="C740" s="1"/>
      <c r="D740" s="1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ht="15.75" customHeight="1">
      <c r="A741" s="1"/>
      <c r="B741" s="1"/>
      <c r="C741" s="1"/>
      <c r="D741" s="1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ht="15.75" customHeight="1">
      <c r="A742" s="1"/>
      <c r="B742" s="1"/>
      <c r="C742" s="1"/>
      <c r="D742" s="1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ht="15.75" customHeight="1">
      <c r="A743" s="1"/>
      <c r="B743" s="1"/>
      <c r="C743" s="1"/>
      <c r="D743" s="1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ht="15.75" customHeight="1">
      <c r="A744" s="1"/>
      <c r="B744" s="1"/>
      <c r="C744" s="1"/>
      <c r="D744" s="1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ht="15.75" customHeight="1">
      <c r="A745" s="1"/>
      <c r="B745" s="1"/>
      <c r="C745" s="1"/>
      <c r="D745" s="1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ht="15.75" customHeight="1">
      <c r="A746" s="1"/>
      <c r="B746" s="1"/>
      <c r="C746" s="1"/>
      <c r="D746" s="1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ht="15.75" customHeight="1">
      <c r="A747" s="1"/>
      <c r="B747" s="1"/>
      <c r="C747" s="1"/>
      <c r="D747" s="1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ht="15.75" customHeight="1">
      <c r="A748" s="1"/>
      <c r="B748" s="1"/>
      <c r="C748" s="1"/>
      <c r="D748" s="1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ht="15.75" customHeight="1">
      <c r="A749" s="1"/>
      <c r="B749" s="1"/>
      <c r="C749" s="1"/>
      <c r="D749" s="1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ht="15.75" customHeight="1">
      <c r="A750" s="1"/>
      <c r="B750" s="1"/>
      <c r="C750" s="1"/>
      <c r="D750" s="1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ht="15.75" customHeight="1">
      <c r="A751" s="1"/>
      <c r="B751" s="1"/>
      <c r="C751" s="1"/>
      <c r="D751" s="1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ht="15.75" customHeight="1">
      <c r="A752" s="1"/>
      <c r="B752" s="1"/>
      <c r="C752" s="1"/>
      <c r="D752" s="1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ht="15.75" customHeight="1">
      <c r="A753" s="1"/>
      <c r="B753" s="1"/>
      <c r="C753" s="1"/>
      <c r="D753" s="1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ht="15.75" customHeight="1">
      <c r="A754" s="1"/>
      <c r="B754" s="1"/>
      <c r="C754" s="1"/>
      <c r="D754" s="1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ht="15.75" customHeight="1">
      <c r="A755" s="1"/>
      <c r="B755" s="1"/>
      <c r="C755" s="1"/>
      <c r="D755" s="1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ht="15.75" customHeight="1">
      <c r="A756" s="1"/>
      <c r="B756" s="1"/>
      <c r="C756" s="1"/>
      <c r="D756" s="1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ht="15.75" customHeight="1">
      <c r="A757" s="1"/>
      <c r="B757" s="1"/>
      <c r="C757" s="1"/>
      <c r="D757" s="1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ht="15.75" customHeight="1">
      <c r="A758" s="1"/>
      <c r="B758" s="1"/>
      <c r="C758" s="1"/>
      <c r="D758" s="1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ht="15.75" customHeight="1">
      <c r="A759" s="1"/>
      <c r="B759" s="1"/>
      <c r="C759" s="1"/>
      <c r="D759" s="1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ht="15.75" customHeight="1">
      <c r="A760" s="1"/>
      <c r="B760" s="1"/>
      <c r="C760" s="1"/>
      <c r="D760" s="1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ht="15.75" customHeight="1">
      <c r="A761" s="1"/>
      <c r="B761" s="1"/>
      <c r="C761" s="1"/>
      <c r="D761" s="1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ht="15.75" customHeight="1">
      <c r="A762" s="1"/>
      <c r="B762" s="1"/>
      <c r="C762" s="1"/>
      <c r="D762" s="1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ht="15.75" customHeight="1">
      <c r="A763" s="1"/>
      <c r="B763" s="1"/>
      <c r="C763" s="1"/>
      <c r="D763" s="1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ht="15.75" customHeight="1">
      <c r="A764" s="1"/>
      <c r="B764" s="1"/>
      <c r="C764" s="1"/>
      <c r="D764" s="1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ht="15.75" customHeight="1">
      <c r="A765" s="1"/>
      <c r="B765" s="1"/>
      <c r="C765" s="1"/>
      <c r="D765" s="1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ht="15.75" customHeight="1">
      <c r="A766" s="1"/>
      <c r="B766" s="1"/>
      <c r="C766" s="1"/>
      <c r="D766" s="1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ht="15.75" customHeight="1">
      <c r="A767" s="1"/>
      <c r="B767" s="1"/>
      <c r="C767" s="1"/>
      <c r="D767" s="1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ht="15.75" customHeight="1">
      <c r="A768" s="1"/>
      <c r="B768" s="1"/>
      <c r="C768" s="1"/>
      <c r="D768" s="1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ht="15.75" customHeight="1">
      <c r="A769" s="1"/>
      <c r="B769" s="1"/>
      <c r="C769" s="1"/>
      <c r="D769" s="1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ht="15.75" customHeight="1">
      <c r="A770" s="1"/>
      <c r="B770" s="1"/>
      <c r="C770" s="1"/>
      <c r="D770" s="1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ht="15.75" customHeight="1">
      <c r="A771" s="1"/>
      <c r="B771" s="1"/>
      <c r="C771" s="1"/>
      <c r="D771" s="1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ht="15.75" customHeight="1">
      <c r="A772" s="1"/>
      <c r="B772" s="1"/>
      <c r="C772" s="1"/>
      <c r="D772" s="1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ht="15.75" customHeight="1">
      <c r="A773" s="1"/>
      <c r="B773" s="1"/>
      <c r="C773" s="1"/>
      <c r="D773" s="1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ht="15.75" customHeight="1">
      <c r="A774" s="1"/>
      <c r="B774" s="1"/>
      <c r="C774" s="1"/>
      <c r="D774" s="1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ht="15.75" customHeight="1">
      <c r="A775" s="1"/>
      <c r="B775" s="1"/>
      <c r="C775" s="1"/>
      <c r="D775" s="1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ht="15.75" customHeight="1">
      <c r="A776" s="1"/>
      <c r="B776" s="1"/>
      <c r="C776" s="1"/>
      <c r="D776" s="1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ht="15.75" customHeight="1">
      <c r="A777" s="1"/>
      <c r="B777" s="1"/>
      <c r="C777" s="1"/>
      <c r="D777" s="1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ht="15.75" customHeight="1">
      <c r="A778" s="1"/>
      <c r="B778" s="1"/>
      <c r="C778" s="1"/>
      <c r="D778" s="1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ht="15.75" customHeight="1">
      <c r="A779" s="1"/>
      <c r="B779" s="1"/>
      <c r="C779" s="1"/>
      <c r="D779" s="1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ht="15.75" customHeight="1">
      <c r="A780" s="1"/>
      <c r="B780" s="1"/>
      <c r="C780" s="1"/>
      <c r="D780" s="1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ht="15.75" customHeight="1">
      <c r="A781" s="1"/>
      <c r="B781" s="1"/>
      <c r="C781" s="1"/>
      <c r="D781" s="1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ht="15.75" customHeight="1">
      <c r="A782" s="1"/>
      <c r="B782" s="1"/>
      <c r="C782" s="1"/>
      <c r="D782" s="1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ht="15.75" customHeight="1">
      <c r="A783" s="1"/>
      <c r="B783" s="1"/>
      <c r="C783" s="1"/>
      <c r="D783" s="1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ht="15.75" customHeight="1">
      <c r="A784" s="1"/>
      <c r="B784" s="1"/>
      <c r="C784" s="1"/>
      <c r="D784" s="1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ht="15.75" customHeight="1">
      <c r="A785" s="1"/>
      <c r="B785" s="1"/>
      <c r="C785" s="1"/>
      <c r="D785" s="1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ht="15.75" customHeight="1">
      <c r="A786" s="1"/>
      <c r="B786" s="1"/>
      <c r="C786" s="1"/>
      <c r="D786" s="1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ht="15.75" customHeight="1">
      <c r="A787" s="1"/>
      <c r="B787" s="1"/>
      <c r="C787" s="1"/>
      <c r="D787" s="1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ht="15.75" customHeight="1">
      <c r="A788" s="1"/>
      <c r="B788" s="1"/>
      <c r="C788" s="1"/>
      <c r="D788" s="1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ht="15.75" customHeight="1">
      <c r="A789" s="1"/>
      <c r="B789" s="1"/>
      <c r="C789" s="1"/>
      <c r="D789" s="1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ht="15.75" customHeight="1">
      <c r="A790" s="1"/>
      <c r="B790" s="1"/>
      <c r="C790" s="1"/>
      <c r="D790" s="1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ht="15.75" customHeight="1">
      <c r="A791" s="1"/>
      <c r="B791" s="1"/>
      <c r="C791" s="1"/>
      <c r="D791" s="1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ht="15.75" customHeight="1">
      <c r="A792" s="1"/>
      <c r="B792" s="1"/>
      <c r="C792" s="1"/>
      <c r="D792" s="1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ht="15.75" customHeight="1">
      <c r="A793" s="1"/>
      <c r="B793" s="1"/>
      <c r="C793" s="1"/>
      <c r="D793" s="1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ht="15.75" customHeight="1">
      <c r="A794" s="1"/>
      <c r="B794" s="1"/>
      <c r="C794" s="1"/>
      <c r="D794" s="1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ht="15.75" customHeight="1">
      <c r="A795" s="1"/>
      <c r="B795" s="1"/>
      <c r="C795" s="1"/>
      <c r="D795" s="1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ht="15.75" customHeight="1">
      <c r="A796" s="1"/>
      <c r="B796" s="1"/>
      <c r="C796" s="1"/>
      <c r="D796" s="1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ht="15.75" customHeight="1">
      <c r="A797" s="1"/>
      <c r="B797" s="1"/>
      <c r="C797" s="1"/>
      <c r="D797" s="1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ht="15.75" customHeight="1">
      <c r="A798" s="1"/>
      <c r="B798" s="1"/>
      <c r="C798" s="1"/>
      <c r="D798" s="1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ht="15.75" customHeight="1">
      <c r="A799" s="1"/>
      <c r="B799" s="1"/>
      <c r="C799" s="1"/>
      <c r="D799" s="1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ht="15.75" customHeight="1">
      <c r="A800" s="1"/>
      <c r="B800" s="1"/>
      <c r="C800" s="1"/>
      <c r="D800" s="1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ht="15.75" customHeight="1">
      <c r="A801" s="1"/>
      <c r="B801" s="1"/>
      <c r="C801" s="1"/>
      <c r="D801" s="1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ht="15.75" customHeight="1">
      <c r="A802" s="1"/>
      <c r="B802" s="1"/>
      <c r="C802" s="1"/>
      <c r="D802" s="1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ht="15.75" customHeight="1">
      <c r="A803" s="1"/>
      <c r="B803" s="1"/>
      <c r="C803" s="1"/>
      <c r="D803" s="1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ht="15.75" customHeight="1">
      <c r="A804" s="1"/>
      <c r="B804" s="1"/>
      <c r="C804" s="1"/>
      <c r="D804" s="1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ht="15.75" customHeight="1">
      <c r="A805" s="1"/>
      <c r="B805" s="1"/>
      <c r="C805" s="1"/>
      <c r="D805" s="1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ht="15.75" customHeight="1">
      <c r="A806" s="1"/>
      <c r="B806" s="1"/>
      <c r="C806" s="1"/>
      <c r="D806" s="1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ht="15.75" customHeight="1">
      <c r="A807" s="1"/>
      <c r="B807" s="1"/>
      <c r="C807" s="1"/>
      <c r="D807" s="1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ht="15.75" customHeight="1">
      <c r="A808" s="1"/>
      <c r="B808" s="1"/>
      <c r="C808" s="1"/>
      <c r="D808" s="1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ht="15.75" customHeight="1">
      <c r="A809" s="1"/>
      <c r="B809" s="1"/>
      <c r="C809" s="1"/>
      <c r="D809" s="1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ht="15.75" customHeight="1">
      <c r="A810" s="1"/>
      <c r="B810" s="1"/>
      <c r="C810" s="1"/>
      <c r="D810" s="1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ht="15.75" customHeight="1">
      <c r="A811" s="1"/>
      <c r="B811" s="1"/>
      <c r="C811" s="1"/>
      <c r="D811" s="1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ht="15.75" customHeight="1">
      <c r="A812" s="1"/>
      <c r="B812" s="1"/>
      <c r="C812" s="1"/>
      <c r="D812" s="1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ht="15.75" customHeight="1">
      <c r="A813" s="1"/>
      <c r="B813" s="1"/>
      <c r="C813" s="1"/>
      <c r="D813" s="1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ht="15.75" customHeight="1">
      <c r="A814" s="1"/>
      <c r="B814" s="1"/>
      <c r="C814" s="1"/>
      <c r="D814" s="1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ht="15.75" customHeight="1">
      <c r="A815" s="1"/>
      <c r="B815" s="1"/>
      <c r="C815" s="1"/>
      <c r="D815" s="1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ht="15.75" customHeight="1">
      <c r="A816" s="1"/>
      <c r="B816" s="1"/>
      <c r="C816" s="1"/>
      <c r="D816" s="1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ht="15.75" customHeight="1">
      <c r="A817" s="1"/>
      <c r="B817" s="1"/>
      <c r="C817" s="1"/>
      <c r="D817" s="1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ht="15.75" customHeight="1">
      <c r="A818" s="1"/>
      <c r="B818" s="1"/>
      <c r="C818" s="1"/>
      <c r="D818" s="1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ht="15.75" customHeight="1">
      <c r="A819" s="1"/>
      <c r="B819" s="1"/>
      <c r="C819" s="1"/>
      <c r="D819" s="1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ht="15.75" customHeight="1">
      <c r="A820" s="1"/>
      <c r="B820" s="1"/>
      <c r="C820" s="1"/>
      <c r="D820" s="1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ht="15.75" customHeight="1">
      <c r="A821" s="1"/>
      <c r="B821" s="1"/>
      <c r="C821" s="1"/>
      <c r="D821" s="1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ht="15.75" customHeight="1">
      <c r="A822" s="1"/>
      <c r="B822" s="1"/>
      <c r="C822" s="1"/>
      <c r="D822" s="1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ht="15.75" customHeight="1">
      <c r="A823" s="1"/>
      <c r="B823" s="1"/>
      <c r="C823" s="1"/>
      <c r="D823" s="1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ht="15.75" customHeight="1">
      <c r="A824" s="1"/>
      <c r="B824" s="1"/>
      <c r="C824" s="1"/>
      <c r="D824" s="1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ht="15.75" customHeight="1">
      <c r="A825" s="1"/>
      <c r="B825" s="1"/>
      <c r="C825" s="1"/>
      <c r="D825" s="1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ht="15.75" customHeight="1">
      <c r="A826" s="1"/>
      <c r="B826" s="1"/>
      <c r="C826" s="1"/>
      <c r="D826" s="1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ht="15.75" customHeight="1">
      <c r="A827" s="1"/>
      <c r="B827" s="1"/>
      <c r="C827" s="1"/>
      <c r="D827" s="1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ht="15.75" customHeight="1">
      <c r="A828" s="1"/>
      <c r="B828" s="1"/>
      <c r="C828" s="1"/>
      <c r="D828" s="1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ht="15.75" customHeight="1">
      <c r="A829" s="1"/>
      <c r="B829" s="1"/>
      <c r="C829" s="1"/>
      <c r="D829" s="1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ht="15.75" customHeight="1">
      <c r="A830" s="1"/>
      <c r="B830" s="1"/>
      <c r="C830" s="1"/>
      <c r="D830" s="1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ht="15.75" customHeight="1">
      <c r="A831" s="1"/>
      <c r="B831" s="1"/>
      <c r="C831" s="1"/>
      <c r="D831" s="1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ht="15.75" customHeight="1">
      <c r="A832" s="1"/>
      <c r="B832" s="1"/>
      <c r="C832" s="1"/>
      <c r="D832" s="1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ht="15.75" customHeight="1">
      <c r="A833" s="1"/>
      <c r="B833" s="1"/>
      <c r="C833" s="1"/>
      <c r="D833" s="1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ht="15.75" customHeight="1">
      <c r="A834" s="1"/>
      <c r="B834" s="1"/>
      <c r="C834" s="1"/>
      <c r="D834" s="1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ht="15.75" customHeight="1">
      <c r="A835" s="1"/>
      <c r="B835" s="1"/>
      <c r="C835" s="1"/>
      <c r="D835" s="1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ht="15.75" customHeight="1">
      <c r="A836" s="1"/>
      <c r="B836" s="1"/>
      <c r="C836" s="1"/>
      <c r="D836" s="1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ht="15.75" customHeight="1">
      <c r="A837" s="1"/>
      <c r="B837" s="1"/>
      <c r="C837" s="1"/>
      <c r="D837" s="1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ht="15.75" customHeight="1">
      <c r="A838" s="1"/>
      <c r="B838" s="1"/>
      <c r="C838" s="1"/>
      <c r="D838" s="1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ht="15.75" customHeight="1">
      <c r="A839" s="1"/>
      <c r="B839" s="1"/>
      <c r="C839" s="1"/>
      <c r="D839" s="1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ht="15.75" customHeight="1">
      <c r="A840" s="1"/>
      <c r="B840" s="1"/>
      <c r="C840" s="1"/>
      <c r="D840" s="1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ht="15.75" customHeight="1">
      <c r="A841" s="1"/>
      <c r="B841" s="1"/>
      <c r="C841" s="1"/>
      <c r="D841" s="1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ht="15.75" customHeight="1">
      <c r="A842" s="1"/>
      <c r="B842" s="1"/>
      <c r="C842" s="1"/>
      <c r="D842" s="1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ht="15.75" customHeight="1">
      <c r="A843" s="1"/>
      <c r="B843" s="1"/>
      <c r="C843" s="1"/>
      <c r="D843" s="1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ht="15.75" customHeight="1">
      <c r="A844" s="1"/>
      <c r="B844" s="1"/>
      <c r="C844" s="1"/>
      <c r="D844" s="1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ht="15.75" customHeight="1">
      <c r="A845" s="1"/>
      <c r="B845" s="1"/>
      <c r="C845" s="1"/>
      <c r="D845" s="1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ht="15.75" customHeight="1">
      <c r="A846" s="1"/>
      <c r="B846" s="1"/>
      <c r="C846" s="1"/>
      <c r="D846" s="1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ht="15.75" customHeight="1">
      <c r="A847" s="1"/>
      <c r="B847" s="1"/>
      <c r="C847" s="1"/>
      <c r="D847" s="1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ht="15.75" customHeight="1">
      <c r="A848" s="1"/>
      <c r="B848" s="1"/>
      <c r="C848" s="1"/>
      <c r="D848" s="1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ht="15.75" customHeight="1">
      <c r="A849" s="1"/>
      <c r="B849" s="1"/>
      <c r="C849" s="1"/>
      <c r="D849" s="1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ht="15.75" customHeight="1">
      <c r="A850" s="1"/>
      <c r="B850" s="1"/>
      <c r="C850" s="1"/>
      <c r="D850" s="1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ht="15.75" customHeight="1">
      <c r="A851" s="1"/>
      <c r="B851" s="1"/>
      <c r="C851" s="1"/>
      <c r="D851" s="1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ht="15.75" customHeight="1">
      <c r="A852" s="1"/>
      <c r="B852" s="1"/>
      <c r="C852" s="1"/>
      <c r="D852" s="1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ht="15.75" customHeight="1">
      <c r="A853" s="1"/>
      <c r="B853" s="1"/>
      <c r="C853" s="1"/>
      <c r="D853" s="1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ht="15.75" customHeight="1">
      <c r="A854" s="1"/>
      <c r="B854" s="1"/>
      <c r="C854" s="1"/>
      <c r="D854" s="1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ht="15.75" customHeight="1">
      <c r="A855" s="1"/>
      <c r="B855" s="1"/>
      <c r="C855" s="1"/>
      <c r="D855" s="1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ht="15.75" customHeight="1">
      <c r="A856" s="1"/>
      <c r="B856" s="1"/>
      <c r="C856" s="1"/>
      <c r="D856" s="1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ht="15.75" customHeight="1">
      <c r="A857" s="1"/>
      <c r="B857" s="1"/>
      <c r="C857" s="1"/>
      <c r="D857" s="1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ht="15.75" customHeight="1">
      <c r="A858" s="1"/>
      <c r="B858" s="1"/>
      <c r="C858" s="1"/>
      <c r="D858" s="1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ht="15.75" customHeight="1">
      <c r="A859" s="1"/>
      <c r="B859" s="1"/>
      <c r="C859" s="1"/>
      <c r="D859" s="1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ht="15.75" customHeight="1">
      <c r="A860" s="1"/>
      <c r="B860" s="1"/>
      <c r="C860" s="1"/>
      <c r="D860" s="1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ht="15.75" customHeight="1">
      <c r="A861" s="1"/>
      <c r="B861" s="1"/>
      <c r="C861" s="1"/>
      <c r="D861" s="1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ht="15.75" customHeight="1">
      <c r="A862" s="1"/>
      <c r="B862" s="1"/>
      <c r="C862" s="1"/>
      <c r="D862" s="1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ht="15.75" customHeight="1">
      <c r="A863" s="1"/>
      <c r="B863" s="1"/>
      <c r="C863" s="1"/>
      <c r="D863" s="1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ht="15.75" customHeight="1">
      <c r="A864" s="1"/>
      <c r="B864" s="1"/>
      <c r="C864" s="1"/>
      <c r="D864" s="1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ht="15.75" customHeight="1">
      <c r="A865" s="1"/>
      <c r="B865" s="1"/>
      <c r="C865" s="1"/>
      <c r="D865" s="1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ht="15.75" customHeight="1">
      <c r="A866" s="1"/>
      <c r="B866" s="1"/>
      <c r="C866" s="1"/>
      <c r="D866" s="1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ht="15.75" customHeight="1">
      <c r="A867" s="1"/>
      <c r="B867" s="1"/>
      <c r="C867" s="1"/>
      <c r="D867" s="1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ht="15.75" customHeight="1">
      <c r="A868" s="1"/>
      <c r="B868" s="1"/>
      <c r="C868" s="1"/>
      <c r="D868" s="1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ht="15.75" customHeight="1">
      <c r="A869" s="1"/>
      <c r="B869" s="1"/>
      <c r="C869" s="1"/>
      <c r="D869" s="1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ht="15.75" customHeight="1">
      <c r="A870" s="1"/>
      <c r="B870" s="1"/>
      <c r="C870" s="1"/>
      <c r="D870" s="1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ht="15.75" customHeight="1">
      <c r="A871" s="1"/>
      <c r="B871" s="1"/>
      <c r="C871" s="1"/>
      <c r="D871" s="1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ht="15.75" customHeight="1">
      <c r="A872" s="1"/>
      <c r="B872" s="1"/>
      <c r="C872" s="1"/>
      <c r="D872" s="1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ht="15.75" customHeight="1">
      <c r="A873" s="1"/>
      <c r="B873" s="1"/>
      <c r="C873" s="1"/>
      <c r="D873" s="1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ht="15.75" customHeight="1">
      <c r="A874" s="1"/>
      <c r="B874" s="1"/>
      <c r="C874" s="1"/>
      <c r="D874" s="1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ht="15.75" customHeight="1">
      <c r="A875" s="1"/>
      <c r="B875" s="1"/>
      <c r="C875" s="1"/>
      <c r="D875" s="1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ht="15.75" customHeight="1">
      <c r="A876" s="1"/>
      <c r="B876" s="1"/>
      <c r="C876" s="1"/>
      <c r="D876" s="1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ht="15.75" customHeight="1">
      <c r="A877" s="1"/>
      <c r="B877" s="1"/>
      <c r="C877" s="1"/>
      <c r="D877" s="1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ht="15.75" customHeight="1">
      <c r="A878" s="1"/>
      <c r="B878" s="1"/>
      <c r="C878" s="1"/>
      <c r="D878" s="1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ht="15.75" customHeight="1">
      <c r="A879" s="1"/>
      <c r="B879" s="1"/>
      <c r="C879" s="1"/>
      <c r="D879" s="1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ht="15.75" customHeight="1">
      <c r="A880" s="1"/>
      <c r="B880" s="1"/>
      <c r="C880" s="1"/>
      <c r="D880" s="1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ht="15.75" customHeight="1">
      <c r="A881" s="1"/>
      <c r="B881" s="1"/>
      <c r="C881" s="1"/>
      <c r="D881" s="1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ht="15.75" customHeight="1">
      <c r="A882" s="1"/>
      <c r="B882" s="1"/>
      <c r="C882" s="1"/>
      <c r="D882" s="1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ht="15.75" customHeight="1">
      <c r="A883" s="1"/>
      <c r="B883" s="1"/>
      <c r="C883" s="1"/>
      <c r="D883" s="1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ht="15.75" customHeight="1">
      <c r="A884" s="1"/>
      <c r="B884" s="1"/>
      <c r="C884" s="1"/>
      <c r="D884" s="1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ht="15.75" customHeight="1">
      <c r="A885" s="1"/>
      <c r="B885" s="1"/>
      <c r="C885" s="1"/>
      <c r="D885" s="1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ht="15.75" customHeight="1">
      <c r="A886" s="1"/>
      <c r="B886" s="1"/>
      <c r="C886" s="1"/>
      <c r="D886" s="1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ht="15.75" customHeight="1">
      <c r="A887" s="1"/>
      <c r="B887" s="1"/>
      <c r="C887" s="1"/>
      <c r="D887" s="1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ht="15.75" customHeight="1">
      <c r="A888" s="1"/>
      <c r="B888" s="1"/>
      <c r="C888" s="1"/>
      <c r="D888" s="1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ht="15.75" customHeight="1">
      <c r="A889" s="1"/>
      <c r="B889" s="1"/>
      <c r="C889" s="1"/>
      <c r="D889" s="1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ht="15.75" customHeight="1">
      <c r="A890" s="1"/>
      <c r="B890" s="1"/>
      <c r="C890" s="1"/>
      <c r="D890" s="1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ht="15.75" customHeight="1">
      <c r="A891" s="1"/>
      <c r="B891" s="1"/>
      <c r="C891" s="1"/>
      <c r="D891" s="1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ht="15.75" customHeight="1">
      <c r="A892" s="1"/>
      <c r="B892" s="1"/>
      <c r="C892" s="1"/>
      <c r="D892" s="1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ht="15.75" customHeight="1">
      <c r="A893" s="1"/>
      <c r="B893" s="1"/>
      <c r="C893" s="1"/>
      <c r="D893" s="1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ht="15.75" customHeight="1">
      <c r="A894" s="1"/>
      <c r="B894" s="1"/>
      <c r="C894" s="1"/>
      <c r="D894" s="1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ht="15.75" customHeight="1">
      <c r="A895" s="1"/>
      <c r="B895" s="1"/>
      <c r="C895" s="1"/>
      <c r="D895" s="1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ht="15.75" customHeight="1">
      <c r="A896" s="1"/>
      <c r="B896" s="1"/>
      <c r="C896" s="1"/>
      <c r="D896" s="1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ht="15.75" customHeight="1">
      <c r="A897" s="1"/>
      <c r="B897" s="1"/>
      <c r="C897" s="1"/>
      <c r="D897" s="1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ht="15.75" customHeight="1">
      <c r="A898" s="1"/>
      <c r="B898" s="1"/>
      <c r="C898" s="1"/>
      <c r="D898" s="1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ht="15.75" customHeight="1">
      <c r="A899" s="1"/>
      <c r="B899" s="1"/>
      <c r="C899" s="1"/>
      <c r="D899" s="1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ht="15.75" customHeight="1">
      <c r="A900" s="1"/>
      <c r="B900" s="1"/>
      <c r="C900" s="1"/>
      <c r="D900" s="1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ht="15.75" customHeight="1">
      <c r="A901" s="1"/>
      <c r="B901" s="1"/>
      <c r="C901" s="1"/>
      <c r="D901" s="1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ht="15.75" customHeight="1">
      <c r="A902" s="1"/>
      <c r="B902" s="1"/>
      <c r="C902" s="1"/>
      <c r="D902" s="1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ht="15.75" customHeight="1">
      <c r="A903" s="1"/>
      <c r="B903" s="1"/>
      <c r="C903" s="1"/>
      <c r="D903" s="1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ht="15.75" customHeight="1">
      <c r="A904" s="1"/>
      <c r="B904" s="1"/>
      <c r="C904" s="1"/>
      <c r="D904" s="1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ht="15.75" customHeight="1">
      <c r="A905" s="1"/>
      <c r="B905" s="1"/>
      <c r="C905" s="1"/>
      <c r="D905" s="1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ht="15.75" customHeight="1">
      <c r="A906" s="1"/>
      <c r="B906" s="1"/>
      <c r="C906" s="1"/>
      <c r="D906" s="1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ht="15.75" customHeight="1">
      <c r="A907" s="1"/>
      <c r="B907" s="1"/>
      <c r="C907" s="1"/>
      <c r="D907" s="1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ht="15.75" customHeight="1">
      <c r="A908" s="1"/>
      <c r="B908" s="1"/>
      <c r="C908" s="1"/>
      <c r="D908" s="1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ht="15.75" customHeight="1">
      <c r="A909" s="1"/>
      <c r="B909" s="1"/>
      <c r="C909" s="1"/>
      <c r="D909" s="1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ht="15.75" customHeight="1">
      <c r="A910" s="1"/>
      <c r="B910" s="1"/>
      <c r="C910" s="1"/>
      <c r="D910" s="1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ht="15.75" customHeight="1">
      <c r="A911" s="1"/>
      <c r="B911" s="1"/>
      <c r="C911" s="1"/>
      <c r="D911" s="1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ht="15.75" customHeight="1">
      <c r="A912" s="1"/>
      <c r="B912" s="1"/>
      <c r="C912" s="1"/>
      <c r="D912" s="1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ht="15.75" customHeight="1">
      <c r="A913" s="1"/>
      <c r="B913" s="1"/>
      <c r="C913" s="1"/>
      <c r="D913" s="1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ht="15.75" customHeight="1">
      <c r="A914" s="1"/>
      <c r="B914" s="1"/>
      <c r="C914" s="1"/>
      <c r="D914" s="1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ht="15.75" customHeight="1">
      <c r="A915" s="1"/>
      <c r="B915" s="1"/>
      <c r="C915" s="1"/>
      <c r="D915" s="1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ht="15.75" customHeight="1">
      <c r="A916" s="1"/>
      <c r="B916" s="1"/>
      <c r="C916" s="1"/>
      <c r="D916" s="1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ht="15.75" customHeight="1">
      <c r="A917" s="1"/>
      <c r="B917" s="1"/>
      <c r="C917" s="1"/>
      <c r="D917" s="1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ht="15.75" customHeight="1">
      <c r="A918" s="1"/>
      <c r="B918" s="1"/>
      <c r="C918" s="1"/>
      <c r="D918" s="1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ht="15.75" customHeight="1">
      <c r="A919" s="1"/>
      <c r="B919" s="1"/>
      <c r="C919" s="1"/>
      <c r="D919" s="1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ht="15.75" customHeight="1">
      <c r="A920" s="1"/>
      <c r="B920" s="1"/>
      <c r="C920" s="1"/>
      <c r="D920" s="1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ht="15.75" customHeight="1">
      <c r="A921" s="1"/>
      <c r="B921" s="1"/>
      <c r="C921" s="1"/>
      <c r="D921" s="1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ht="15.75" customHeight="1">
      <c r="A922" s="1"/>
      <c r="B922" s="1"/>
      <c r="C922" s="1"/>
      <c r="D922" s="1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ht="15.75" customHeight="1">
      <c r="A923" s="1"/>
      <c r="B923" s="1"/>
      <c r="C923" s="1"/>
      <c r="D923" s="1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ht="15.75" customHeight="1">
      <c r="A924" s="1"/>
      <c r="B924" s="1"/>
      <c r="C924" s="1"/>
      <c r="D924" s="1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ht="15.75" customHeight="1">
      <c r="A925" s="1"/>
      <c r="B925" s="1"/>
      <c r="C925" s="1"/>
      <c r="D925" s="1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ht="15.75" customHeight="1">
      <c r="A926" s="1"/>
      <c r="B926" s="1"/>
      <c r="C926" s="1"/>
      <c r="D926" s="1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ht="15.75" customHeight="1">
      <c r="A927" s="1"/>
      <c r="B927" s="1"/>
      <c r="C927" s="1"/>
      <c r="D927" s="1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ht="15.75" customHeight="1">
      <c r="A928" s="1"/>
      <c r="B928" s="1"/>
      <c r="C928" s="1"/>
      <c r="D928" s="1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ht="15.75" customHeight="1">
      <c r="A929" s="1"/>
      <c r="B929" s="1"/>
      <c r="C929" s="1"/>
      <c r="D929" s="1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ht="15.75" customHeight="1">
      <c r="A930" s="1"/>
      <c r="B930" s="1"/>
      <c r="C930" s="1"/>
      <c r="D930" s="1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ht="15.75" customHeight="1">
      <c r="A931" s="1"/>
      <c r="B931" s="1"/>
      <c r="C931" s="1"/>
      <c r="D931" s="1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ht="15.75" customHeight="1">
      <c r="A932" s="1"/>
      <c r="B932" s="1"/>
      <c r="C932" s="1"/>
      <c r="D932" s="1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ht="15.75" customHeight="1">
      <c r="A933" s="1"/>
      <c r="B933" s="1"/>
      <c r="C933" s="1"/>
      <c r="D933" s="1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ht="15.75" customHeight="1">
      <c r="A934" s="1"/>
      <c r="B934" s="1"/>
      <c r="C934" s="1"/>
      <c r="D934" s="1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ht="15.75" customHeight="1">
      <c r="A935" s="1"/>
      <c r="B935" s="1"/>
      <c r="C935" s="1"/>
      <c r="D935" s="1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ht="15.75" customHeight="1">
      <c r="A936" s="1"/>
      <c r="B936" s="1"/>
      <c r="C936" s="1"/>
      <c r="D936" s="1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ht="15.75" customHeight="1">
      <c r="A937" s="1"/>
      <c r="B937" s="1"/>
      <c r="C937" s="1"/>
      <c r="D937" s="1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ht="15.75" customHeight="1">
      <c r="A938" s="1"/>
      <c r="B938" s="1"/>
      <c r="C938" s="1"/>
      <c r="D938" s="1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ht="15.75" customHeight="1">
      <c r="A939" s="1"/>
      <c r="B939" s="1"/>
      <c r="C939" s="1"/>
      <c r="D939" s="1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</sheetData>
  <autoFilter ref="$E$1:$T$261"/>
  <dataValidations>
    <dataValidation type="list" allowBlank="1" showErrorMessage="1" sqref="Q2:Q86">
      <formula1>'Datos del plan'!$B$1:$B$5</formula1>
    </dataValidation>
    <dataValidation type="list" allowBlank="1" showErrorMessage="1" sqref="P2:P86">
      <formula1>Datos!$B$1:$B$3</formula1>
    </dataValidation>
    <dataValidation type="list" allowBlank="1" showErrorMessage="1" sqref="R2:R86">
      <formula1>'Datos del plan'!$D$1:$D$2</formula1>
    </dataValidation>
    <dataValidation type="list" allowBlank="1" showErrorMessage="1" sqref="I2:I86">
      <formula1>'Datos del plan'!$A$1:$A$8</formula1>
    </dataValidation>
  </dataValidations>
  <hyperlinks>
    <hyperlink r:id="rId1" ref="M33"/>
    <hyperlink r:id="rId2" ref="M34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2.0"/>
    <col customWidth="1" hidden="1" min="5" max="5" width="4.86"/>
    <col customWidth="1" min="6" max="6" width="10.57"/>
    <col customWidth="1" min="7" max="11" width="10.71"/>
    <col customWidth="1" min="12" max="12" width="5.43"/>
    <col customWidth="1" min="13" max="26" width="10.71"/>
  </cols>
  <sheetData>
    <row r="1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36"/>
      <c r="C2" s="36"/>
      <c r="D2" s="3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36"/>
      <c r="C3" s="36"/>
      <c r="D3" s="3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36"/>
      <c r="C4" s="36"/>
      <c r="D4" s="3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36"/>
      <c r="E5" s="36"/>
      <c r="F5" s="36"/>
      <c r="G5" s="2"/>
      <c r="H5" s="2"/>
      <c r="I5" s="2"/>
      <c r="J5" s="2"/>
      <c r="K5" s="2"/>
      <c r="L5" s="2"/>
      <c r="M5" s="2"/>
      <c r="N5" s="2"/>
      <c r="O5" s="2"/>
      <c r="P5" s="4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43" t="s">
        <v>460</v>
      </c>
      <c r="C6" s="44" t="s">
        <v>30</v>
      </c>
      <c r="D6" s="45">
        <f>COUNTIF('Plan de prueba'!Q2:Q271,Control!C6)</f>
        <v>36</v>
      </c>
      <c r="E6" s="47"/>
      <c r="F6" s="47"/>
      <c r="G6" s="2"/>
      <c r="H6" s="2"/>
      <c r="I6" s="2"/>
      <c r="J6" s="2"/>
      <c r="K6" s="2"/>
      <c r="L6" s="2"/>
      <c r="M6" s="2"/>
      <c r="N6" s="2"/>
      <c r="O6" s="2"/>
      <c r="P6" s="4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49"/>
      <c r="C7" s="44" t="s">
        <v>169</v>
      </c>
      <c r="D7" s="45">
        <f>COUNTIF('Plan de prueba'!Q2:Q271,Control!C7)</f>
        <v>13</v>
      </c>
      <c r="E7" s="47"/>
      <c r="F7" s="4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49"/>
      <c r="C8" s="44" t="s">
        <v>70</v>
      </c>
      <c r="D8" s="45">
        <f>COUNTIF('Plan de prueba'!Q2:Q271,C8)</f>
        <v>36</v>
      </c>
      <c r="E8" s="47"/>
      <c r="F8" s="4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49"/>
      <c r="C9" s="44" t="s">
        <v>179</v>
      </c>
      <c r="D9" s="45">
        <f>COUNTIF('Plan de prueba'!Q2:Q271,C9)</f>
        <v>0</v>
      </c>
      <c r="E9" s="47"/>
      <c r="F9" s="47"/>
      <c r="G9" s="2"/>
      <c r="H9" s="2"/>
      <c r="I9" s="2"/>
      <c r="J9" s="2"/>
      <c r="K9" s="2"/>
      <c r="L9" s="2"/>
      <c r="M9" s="2"/>
      <c r="N9" s="2"/>
      <c r="O9" s="4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50"/>
      <c r="C10" s="44" t="s">
        <v>183</v>
      </c>
      <c r="D10" s="45">
        <f>COUNTIF('Plan de prueba'!Q2:Q271,C10)</f>
        <v>0</v>
      </c>
      <c r="E10" s="47"/>
      <c r="F10" s="4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52"/>
      <c r="C11" s="52"/>
      <c r="D11" s="4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53"/>
      <c r="C12" s="54"/>
      <c r="D12" s="5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56" t="s">
        <v>580</v>
      </c>
      <c r="C13" s="57"/>
      <c r="D13" s="58">
        <f>COUNTIF('Plan de prueba'!E2:E171,"*")</f>
        <v>62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59" t="s">
        <v>604</v>
      </c>
      <c r="C14" s="60"/>
      <c r="D14" s="61">
        <f>SUM(D6+D7+D9+D10)/D13</f>
        <v>0.7903225806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62"/>
      <c r="C15" s="63"/>
      <c r="D15" s="5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64" t="s">
        <v>612</v>
      </c>
      <c r="C18" s="65"/>
      <c r="D18" s="66" t="s">
        <v>32</v>
      </c>
      <c r="E18" s="57"/>
      <c r="F18" s="58">
        <f>COUNTIF('Plan de prueba'!$S$2:$S$63,D18)</f>
        <v>62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67"/>
      <c r="D19" s="66" t="s">
        <v>613</v>
      </c>
      <c r="E19" s="57"/>
      <c r="F19" s="58">
        <f>COUNTIF('Plan de prueba'!$S$2:$S$63,D19)</f>
        <v>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67"/>
      <c r="D20" s="66" t="s">
        <v>614</v>
      </c>
      <c r="E20" s="57"/>
      <c r="F20" s="58">
        <f>COUNTIF('Plan de prueba'!$S$2:$S$63,D20)</f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62"/>
      <c r="C21" s="68"/>
      <c r="D21" s="66"/>
      <c r="E21" s="57"/>
      <c r="F21" s="6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70" t="s">
        <v>615</v>
      </c>
      <c r="E23" s="71"/>
      <c r="F23" s="72">
        <f>SUM(F18:F21)</f>
        <v>62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7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D19:E19"/>
    <mergeCell ref="D20:E20"/>
    <mergeCell ref="D23:E23"/>
    <mergeCell ref="B6:B10"/>
    <mergeCell ref="B12:C12"/>
    <mergeCell ref="B13:C13"/>
    <mergeCell ref="B14:C15"/>
    <mergeCell ref="D14:D15"/>
    <mergeCell ref="B18:C21"/>
    <mergeCell ref="D18:E18"/>
    <mergeCell ref="D21:E2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9">
      <c r="F9" s="1"/>
      <c r="H9" s="1"/>
    </row>
    <row r="10">
      <c r="F10" s="1"/>
      <c r="H10" s="1"/>
    </row>
    <row r="11">
      <c r="F11" s="1"/>
      <c r="H11" s="1"/>
    </row>
    <row r="12">
      <c r="F12" s="1"/>
      <c r="H12" s="1"/>
    </row>
    <row r="13">
      <c r="F13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1" t="s">
        <v>0</v>
      </c>
      <c r="B1" s="1" t="s">
        <v>30</v>
      </c>
      <c r="C1" s="1" t="s">
        <v>163</v>
      </c>
      <c r="D1" s="1" t="s">
        <v>31</v>
      </c>
    </row>
    <row r="2" ht="14.25" customHeight="1">
      <c r="A2" s="1" t="s">
        <v>2</v>
      </c>
      <c r="B2" s="1" t="s">
        <v>169</v>
      </c>
      <c r="C2" s="1" t="s">
        <v>171</v>
      </c>
      <c r="D2" s="1" t="s">
        <v>172</v>
      </c>
    </row>
    <row r="3" ht="14.25" customHeight="1">
      <c r="A3" s="1" t="s">
        <v>173</v>
      </c>
      <c r="B3" s="1" t="s">
        <v>70</v>
      </c>
      <c r="C3" s="1" t="s">
        <v>174</v>
      </c>
    </row>
    <row r="4" ht="14.25" customHeight="1">
      <c r="A4" s="1" t="s">
        <v>177</v>
      </c>
      <c r="B4" s="1" t="s">
        <v>179</v>
      </c>
    </row>
    <row r="5" ht="14.25" customHeight="1">
      <c r="A5" s="1" t="s">
        <v>182</v>
      </c>
      <c r="B5" s="1" t="s">
        <v>183</v>
      </c>
    </row>
    <row r="6" ht="14.25" customHeight="1">
      <c r="A6" s="1" t="s">
        <v>184</v>
      </c>
    </row>
    <row r="7" ht="14.25" customHeight="1">
      <c r="A7" s="1" t="s">
        <v>185</v>
      </c>
    </row>
    <row r="8" ht="14.25" customHeight="1">
      <c r="A8" s="1" t="s">
        <v>187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